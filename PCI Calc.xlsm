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D oficina\Documents\unet\tesis unet\Tesis teresa\TESIS\Desarrollo\inventarios de tramos\macro PCI\"/>
    </mc:Choice>
  </mc:AlternateContent>
  <bookViews>
    <workbookView xWindow="0" yWindow="0" windowWidth="21600" windowHeight="9000"/>
  </bookViews>
  <sheets>
    <sheet name="PCI" sheetId="3" r:id="rId1"/>
    <sheet name="Registro" sheetId="21" r:id="rId2"/>
    <sheet name="PCI general" sheetId="19" r:id="rId3"/>
    <sheet name="U's" sheetId="22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6" i="21" l="1"/>
  <c r="L255" i="21"/>
  <c r="L254" i="21"/>
  <c r="L253" i="21"/>
  <c r="L252" i="21"/>
  <c r="L251" i="21"/>
  <c r="L250" i="21"/>
  <c r="L249" i="21"/>
  <c r="L248" i="21"/>
  <c r="L247" i="21"/>
  <c r="L246" i="21"/>
  <c r="L245" i="21"/>
  <c r="L244" i="21"/>
  <c r="L243" i="21"/>
  <c r="L242" i="21"/>
  <c r="L241" i="21"/>
  <c r="L240" i="21"/>
  <c r="L239" i="21"/>
  <c r="C238" i="21"/>
  <c r="B238" i="21"/>
  <c r="B237" i="21"/>
  <c r="L236" i="21"/>
  <c r="D235" i="21"/>
  <c r="C235" i="21"/>
  <c r="L235" i="21" s="1"/>
  <c r="B235" i="21"/>
  <c r="L234" i="21"/>
  <c r="L219" i="21"/>
  <c r="L218" i="21"/>
  <c r="L217" i="21"/>
  <c r="L216" i="21"/>
  <c r="L215" i="21"/>
  <c r="L214" i="21"/>
  <c r="L213" i="21"/>
  <c r="L212" i="21"/>
  <c r="L211" i="21"/>
  <c r="L210" i="21"/>
  <c r="L209" i="21"/>
  <c r="L208" i="21"/>
  <c r="L207" i="21"/>
  <c r="L206" i="21"/>
  <c r="L205" i="21"/>
  <c r="L204" i="21"/>
  <c r="L203" i="21"/>
  <c r="B203" i="21"/>
  <c r="B202" i="21"/>
  <c r="C201" i="21"/>
  <c r="B201" i="21"/>
  <c r="L200" i="21"/>
  <c r="L199" i="21"/>
  <c r="L198" i="21"/>
  <c r="C197" i="21"/>
  <c r="B197" i="21"/>
  <c r="L182" i="21"/>
  <c r="L181" i="21"/>
  <c r="L180" i="21"/>
  <c r="L179" i="21"/>
  <c r="L178" i="21"/>
  <c r="L177" i="21"/>
  <c r="L176" i="21"/>
  <c r="L175" i="21"/>
  <c r="L174" i="21"/>
  <c r="L173" i="21"/>
  <c r="L172" i="21"/>
  <c r="L171" i="21"/>
  <c r="L170" i="21"/>
  <c r="L169" i="21"/>
  <c r="L168" i="21"/>
  <c r="L167" i="21"/>
  <c r="L166" i="21"/>
  <c r="L165" i="21"/>
  <c r="L164" i="21"/>
  <c r="L163" i="21"/>
  <c r="C162" i="21"/>
  <c r="B162" i="21"/>
  <c r="L161" i="21"/>
  <c r="L160" i="21"/>
  <c r="B160" i="21"/>
  <c r="L145" i="21"/>
  <c r="L144" i="21"/>
  <c r="L143" i="21"/>
  <c r="L142" i="21"/>
  <c r="L141" i="21"/>
  <c r="L140" i="21"/>
  <c r="L139" i="21"/>
  <c r="L138" i="21"/>
  <c r="L137" i="21"/>
  <c r="L136" i="21"/>
  <c r="L135" i="21"/>
  <c r="L134" i="21"/>
  <c r="L133" i="21"/>
  <c r="L132" i="21"/>
  <c r="L131" i="21"/>
  <c r="L130" i="21"/>
  <c r="L129" i="21"/>
  <c r="L128" i="21"/>
  <c r="L127" i="21"/>
  <c r="B127" i="21"/>
  <c r="L126" i="21"/>
  <c r="B125" i="21"/>
  <c r="C124" i="21"/>
  <c r="B124" i="21"/>
  <c r="L123" i="21"/>
  <c r="L108" i="21"/>
  <c r="L107" i="21"/>
  <c r="L106" i="21"/>
  <c r="L105" i="21"/>
  <c r="L104" i="21"/>
  <c r="L103" i="21"/>
  <c r="L102" i="21"/>
  <c r="L101" i="21"/>
  <c r="L100" i="21"/>
  <c r="L99" i="21"/>
  <c r="L98" i="21"/>
  <c r="L97" i="21"/>
  <c r="L96" i="21"/>
  <c r="L95" i="21"/>
  <c r="L94" i="21"/>
  <c r="L93" i="21"/>
  <c r="L92" i="21"/>
  <c r="L91" i="21"/>
  <c r="B91" i="21"/>
  <c r="B90" i="21"/>
  <c r="L89" i="21"/>
  <c r="L88" i="21"/>
  <c r="C88" i="21"/>
  <c r="F87" i="21"/>
  <c r="E87" i="21"/>
  <c r="D87" i="21"/>
  <c r="C87" i="21"/>
  <c r="L87" i="21" s="1"/>
  <c r="B87" i="21"/>
  <c r="L86" i="21"/>
  <c r="B86" i="21"/>
  <c r="N6" i="3"/>
  <c r="L71" i="21"/>
  <c r="L70" i="21"/>
  <c r="L69" i="21"/>
  <c r="L68" i="21"/>
  <c r="L67" i="21"/>
  <c r="L66" i="21"/>
  <c r="L65" i="21"/>
  <c r="L64" i="21"/>
  <c r="L63" i="21"/>
  <c r="L62" i="21"/>
  <c r="L61" i="21"/>
  <c r="L60" i="21"/>
  <c r="L59" i="21"/>
  <c r="L58" i="21"/>
  <c r="L57" i="21"/>
  <c r="L56" i="21"/>
  <c r="L55" i="21"/>
  <c r="L54" i="21"/>
  <c r="L53" i="21"/>
  <c r="B53" i="21"/>
  <c r="L52" i="21"/>
  <c r="B51" i="21"/>
  <c r="F50" i="21"/>
  <c r="E50" i="21"/>
  <c r="D50" i="21"/>
  <c r="B50" i="21"/>
  <c r="C49" i="21"/>
  <c r="B49" i="21"/>
  <c r="L49" i="21" s="1"/>
  <c r="L35" i="21"/>
  <c r="L34" i="21"/>
  <c r="L33" i="21"/>
  <c r="L32" i="21"/>
  <c r="L31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E14" i="21"/>
  <c r="D14" i="21"/>
  <c r="C14" i="21"/>
  <c r="B14" i="21"/>
  <c r="D13" i="21"/>
  <c r="C13" i="21"/>
  <c r="L13" i="21" s="1"/>
  <c r="B13" i="21"/>
  <c r="L237" i="21" l="1"/>
  <c r="L238" i="21"/>
  <c r="L202" i="21"/>
  <c r="L197" i="21"/>
  <c r="L201" i="21"/>
  <c r="L162" i="21"/>
  <c r="L124" i="21"/>
  <c r="L125" i="21"/>
  <c r="L90" i="21"/>
  <c r="L50" i="21"/>
  <c r="L51" i="21"/>
  <c r="L14" i="21"/>
  <c r="L22" i="3"/>
  <c r="L20" i="3" l="1"/>
  <c r="L21" i="3" l="1"/>
  <c r="L23" i="3"/>
  <c r="L13" i="3" l="1"/>
  <c r="L19" i="3"/>
  <c r="M19" i="3" l="1"/>
  <c r="N19" i="3"/>
  <c r="M20" i="3" l="1"/>
  <c r="M21" i="3"/>
  <c r="M23" i="3"/>
  <c r="M22" i="3"/>
  <c r="AC18" i="3"/>
  <c r="AC19" i="3"/>
  <c r="AC20" i="3"/>
  <c r="AC21" i="3"/>
  <c r="AC22" i="3"/>
  <c r="AC23" i="3"/>
  <c r="AC24" i="3"/>
  <c r="AC25" i="3"/>
  <c r="AC26" i="3"/>
  <c r="AC27" i="3"/>
  <c r="AC28" i="3"/>
  <c r="AC17" i="3"/>
  <c r="N23" i="3"/>
  <c r="N22" i="3"/>
  <c r="N21" i="3"/>
  <c r="N20" i="3"/>
  <c r="AN28" i="3" l="1"/>
  <c r="AM28" i="3"/>
  <c r="AL28" i="3"/>
  <c r="AK28" i="3"/>
  <c r="L14" i="3" l="1"/>
  <c r="M14" i="3" s="1"/>
  <c r="L15" i="3"/>
  <c r="M15" i="3" s="1"/>
  <c r="L16" i="3"/>
  <c r="M16" i="3" s="1"/>
  <c r="L17" i="3"/>
  <c r="M17" i="3" s="1"/>
  <c r="L18" i="3"/>
  <c r="M18" i="3" s="1"/>
  <c r="L24" i="3"/>
  <c r="M24" i="3" s="1"/>
  <c r="L25" i="3"/>
  <c r="M25" i="3" s="1"/>
  <c r="L26" i="3"/>
  <c r="M26" i="3" s="1"/>
  <c r="L27" i="3"/>
  <c r="M27" i="3" s="1"/>
  <c r="L28" i="3"/>
  <c r="M28" i="3" s="1"/>
  <c r="L29" i="3"/>
  <c r="M29" i="3" s="1"/>
  <c r="L30" i="3"/>
  <c r="M30" i="3" s="1"/>
  <c r="L31" i="3"/>
  <c r="M31" i="3" s="1"/>
  <c r="L32" i="3"/>
  <c r="M32" i="3" s="1"/>
  <c r="L33" i="3"/>
  <c r="M33" i="3" s="1"/>
  <c r="L34" i="3"/>
  <c r="M34" i="3" s="1"/>
  <c r="L35" i="3"/>
  <c r="M35" i="3" s="1"/>
  <c r="M13" i="3"/>
  <c r="N33" i="3"/>
  <c r="N18" i="3"/>
  <c r="N17" i="3"/>
  <c r="N16" i="3"/>
  <c r="N15" i="3"/>
  <c r="N14" i="3"/>
  <c r="N13" i="3"/>
  <c r="N26" i="3" l="1"/>
  <c r="N27" i="3"/>
  <c r="N25" i="3"/>
  <c r="N24" i="3"/>
  <c r="T15" i="3" l="1"/>
  <c r="N31" i="3"/>
  <c r="N34" i="3"/>
  <c r="N28" i="3"/>
  <c r="N30" i="3"/>
  <c r="N29" i="3"/>
  <c r="N32" i="3"/>
  <c r="N35" i="3" l="1"/>
  <c r="AA15" i="3" l="1"/>
</calcChain>
</file>

<file path=xl/sharedStrings.xml><?xml version="1.0" encoding="utf-8"?>
<sst xmlns="http://schemas.openxmlformats.org/spreadsheetml/2006/main" count="1586" uniqueCount="866">
  <si>
    <t>METODO PCI</t>
  </si>
  <si>
    <t>ESQUEMA</t>
  </si>
  <si>
    <t>INDICE DE CONDICION DEL PAVIMENTOS EN VÍAS DE PAVIMENTO FLEXIBLE</t>
  </si>
  <si>
    <t>HOJA DE REGISTRO</t>
  </si>
  <si>
    <t>1. Piel de cocodrilo</t>
  </si>
  <si>
    <t>11. Parches y parches de cortes utilitarios</t>
  </si>
  <si>
    <t xml:space="preserve">2. Exudación </t>
  </si>
  <si>
    <t xml:space="preserve">7. Fisura de borde </t>
  </si>
  <si>
    <t xml:space="preserve">12. Agregado pulido </t>
  </si>
  <si>
    <t>3. Fisuras en bloque</t>
  </si>
  <si>
    <t xml:space="preserve">8. Fisura de reflexión de junta </t>
  </si>
  <si>
    <t xml:space="preserve">13. Baches </t>
  </si>
  <si>
    <t xml:space="preserve">4. Abultamientos y hundimientos </t>
  </si>
  <si>
    <t xml:space="preserve">9. Desnivel carril-berma </t>
  </si>
  <si>
    <t>desprendimiento de agregados</t>
  </si>
  <si>
    <t>5. Corrugación</t>
  </si>
  <si>
    <t xml:space="preserve">10. Fisuras longitudinales y transversales </t>
  </si>
  <si>
    <t>FALLA</t>
  </si>
  <si>
    <t>CANTIDAD</t>
  </si>
  <si>
    <t>TOTAL</t>
  </si>
  <si>
    <t>DENSIDAD</t>
  </si>
  <si>
    <t>VALOR DEDUCIDO</t>
  </si>
  <si>
    <t>Ejecutor:</t>
  </si>
  <si>
    <t>Condición</t>
  </si>
  <si>
    <t>INDICE DE CONDICION DE PAVIMENTO</t>
  </si>
  <si>
    <t>FORMATO PARA LA OBTENCION DE MAXIMO VALOR DEDUCIDO CORREGIDO</t>
  </si>
  <si>
    <t>No.</t>
  </si>
  <si>
    <t>Valores Deducidos</t>
  </si>
  <si>
    <t>Total</t>
  </si>
  <si>
    <t>q</t>
  </si>
  <si>
    <t>CDV</t>
  </si>
  <si>
    <t>Max CDV</t>
  </si>
  <si>
    <t>PCI</t>
  </si>
  <si>
    <t>Ancho (m)</t>
  </si>
  <si>
    <t>N°</t>
  </si>
  <si>
    <t>Tramo N°:</t>
  </si>
  <si>
    <t xml:space="preserve"> Fecha:</t>
  </si>
  <si>
    <t>Nombre de la vía:</t>
  </si>
  <si>
    <t>Sección:</t>
  </si>
  <si>
    <t>long. (m)</t>
  </si>
  <si>
    <t>Unidad de muestra:</t>
  </si>
  <si>
    <t xml:space="preserve">Ubicación de la muestra </t>
  </si>
  <si>
    <t>Área de la muestra (m²):</t>
  </si>
  <si>
    <t xml:space="preserve">16. Desplazamiento </t>
  </si>
  <si>
    <t>17. Fisura parabólica o por deslizamiento</t>
  </si>
  <si>
    <t>18. Hinchamiento</t>
  </si>
  <si>
    <t>14. Cruce de ferrocarril (no aplica)</t>
  </si>
  <si>
    <t>19. Peladura por intemperismo y</t>
  </si>
  <si>
    <t>15. Ahuellamiento</t>
  </si>
  <si>
    <t>Unidad de Muestra:</t>
  </si>
  <si>
    <t>Área (m²):</t>
  </si>
  <si>
    <t>RESULTADOS GENERALES DEL TRAMO</t>
  </si>
  <si>
    <t>UNIDAD DE MUESTRA</t>
  </si>
  <si>
    <t>MAX. CDV</t>
  </si>
  <si>
    <t>VALOR PCI</t>
  </si>
  <si>
    <t>CONDICIÓN</t>
  </si>
  <si>
    <t>Orden Desc</t>
  </si>
  <si>
    <t>m:</t>
  </si>
  <si>
    <t>HDV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</si>
  <si>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</si>
  <si>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</si>
  <si>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</si>
  <si>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</si>
  <si>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</si>
  <si>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</si>
  <si>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</si>
  <si>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</si>
  <si>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</si>
  <si>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</si>
  <si>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</si>
  <si>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</si>
  <si>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</si>
  <si>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</si>
  <si>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</si>
  <si>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</si>
  <si>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</si>
  <si>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</si>
  <si>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</si>
  <si>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</si>
  <si>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t>U21</t>
  </si>
  <si>
    <t>U22</t>
  </si>
  <si>
    <t>U23</t>
  </si>
  <si>
    <t>U24</t>
  </si>
  <si>
    <t>U25</t>
  </si>
  <si>
    <t>U26</t>
  </si>
  <si>
    <t>U27</t>
  </si>
  <si>
    <t>U28</t>
  </si>
  <si>
    <t>U29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</si>
  <si>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</si>
  <si>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</si>
  <si>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</si>
  <si>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</si>
  <si>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</si>
  <si>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</si>
  <si>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</si>
  <si>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</si>
  <si>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</si>
  <si>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</si>
  <si>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U40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</si>
  <si>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</si>
  <si>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</si>
  <si>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</si>
  <si>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</si>
  <si>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</si>
  <si>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</si>
  <si>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</si>
  <si>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</si>
  <si>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</si>
  <si>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U50</t>
  </si>
  <si>
    <t>U51</t>
  </si>
  <si>
    <t>U52</t>
  </si>
  <si>
    <t>U53</t>
  </si>
  <si>
    <t>U54</t>
  </si>
  <si>
    <t>U55</t>
  </si>
  <si>
    <t>U56</t>
  </si>
  <si>
    <t>U57</t>
  </si>
  <si>
    <t>U58</t>
  </si>
  <si>
    <t>U59</t>
  </si>
  <si>
    <t>U60</t>
  </si>
  <si>
    <t>U61</t>
  </si>
  <si>
    <t>U62</t>
  </si>
  <si>
    <t>U63</t>
  </si>
  <si>
    <t>U64</t>
  </si>
  <si>
    <t>U65</t>
  </si>
  <si>
    <t>U66</t>
  </si>
  <si>
    <t>U67</t>
  </si>
  <si>
    <t>U68</t>
  </si>
  <si>
    <t>U69</t>
  </si>
  <si>
    <t>U70</t>
  </si>
  <si>
    <t>U71</t>
  </si>
  <si>
    <t>U72</t>
  </si>
  <si>
    <t>U73</t>
  </si>
  <si>
    <t>U74</t>
  </si>
  <si>
    <t>U75</t>
  </si>
  <si>
    <t>U76</t>
  </si>
  <si>
    <t>U77</t>
  </si>
  <si>
    <t>U78</t>
  </si>
  <si>
    <t>U79</t>
  </si>
  <si>
    <t>U80</t>
  </si>
  <si>
    <t>U81</t>
  </si>
  <si>
    <t>U82</t>
  </si>
  <si>
    <t>U83</t>
  </si>
  <si>
    <t>U84</t>
  </si>
  <si>
    <t>U85</t>
  </si>
  <si>
    <t>U86</t>
  </si>
  <si>
    <t>U87</t>
  </si>
  <si>
    <t>U88</t>
  </si>
  <si>
    <t>U89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</si>
  <si>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</si>
  <si>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</si>
  <si>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</si>
  <si>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</si>
  <si>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</si>
  <si>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</si>
  <si>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</si>
  <si>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</si>
  <si>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</si>
  <si>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</si>
  <si>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</si>
  <si>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</si>
  <si>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</si>
  <si>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</si>
  <si>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</si>
  <si>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</si>
  <si>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</si>
  <si>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</si>
  <si>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</si>
  <si>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</si>
  <si>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</si>
  <si>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</si>
  <si>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</si>
  <si>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</si>
  <si>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</si>
  <si>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</si>
  <si>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</si>
  <si>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</si>
  <si>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</si>
  <si>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</si>
  <si>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</si>
  <si>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</si>
  <si>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</si>
  <si>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</si>
  <si>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</si>
  <si>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</si>
  <si>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</si>
  <si>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</si>
  <si>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</si>
  <si>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</si>
  <si>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</si>
  <si>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</si>
  <si>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</si>
  <si>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</si>
  <si>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</si>
  <si>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</si>
  <si>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</si>
  <si>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</si>
  <si>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</si>
  <si>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</si>
  <si>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</si>
  <si>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</si>
  <si>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</si>
  <si>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</si>
  <si>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</si>
  <si>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</si>
  <si>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</si>
  <si>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</si>
  <si>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</si>
  <si>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</si>
  <si>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</si>
  <si>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</si>
  <si>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</si>
  <si>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</si>
  <si>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</si>
  <si>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</si>
  <si>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</si>
  <si>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</si>
  <si>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</si>
  <si>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</si>
  <si>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</si>
  <si>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</si>
  <si>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</si>
  <si>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</si>
  <si>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</si>
  <si>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</si>
  <si>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</si>
  <si>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</si>
  <si>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</si>
  <si>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</si>
  <si>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</si>
  <si>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</si>
  <si>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</si>
  <si>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</si>
  <si>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</si>
  <si>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</si>
  <si>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</si>
  <si>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U177</t>
  </si>
  <si>
    <t>U178</t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</si>
  <si>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</si>
  <si>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</si>
  <si>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</si>
  <si>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</si>
  <si>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</si>
  <si>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</si>
  <si>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</si>
  <si>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</si>
  <si>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</si>
  <si>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</si>
  <si>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</si>
  <si>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</si>
  <si>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</si>
  <si>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</si>
  <si>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</si>
  <si>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</si>
  <si>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</si>
  <si>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U198</t>
  </si>
  <si>
    <t>U196</t>
  </si>
  <si>
    <t>U197</t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</si>
  <si>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</si>
  <si>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</si>
  <si>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</si>
  <si>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</si>
  <si>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</si>
  <si>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</si>
  <si>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</si>
  <si>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</si>
  <si>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</si>
  <si>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</si>
  <si>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</si>
  <si>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</si>
  <si>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</si>
  <si>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</si>
  <si>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</si>
  <si>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</si>
  <si>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</si>
  <si>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</si>
  <si>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</si>
  <si>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</si>
  <si>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U219</t>
  </si>
  <si>
    <t>U220</t>
  </si>
  <si>
    <t>U221</t>
  </si>
  <si>
    <t>U222</t>
  </si>
  <si>
    <t>U223</t>
  </si>
  <si>
    <t>U224</t>
  </si>
  <si>
    <t>U225</t>
  </si>
  <si>
    <t>U226</t>
  </si>
  <si>
    <t>U227</t>
  </si>
  <si>
    <t>U228</t>
  </si>
  <si>
    <t>U229</t>
  </si>
  <si>
    <t>U230</t>
  </si>
  <si>
    <t>U231</t>
  </si>
  <si>
    <t>U232</t>
  </si>
  <si>
    <t>U233</t>
  </si>
  <si>
    <t>U234</t>
  </si>
  <si>
    <t>U235</t>
  </si>
  <si>
    <t>U236</t>
  </si>
  <si>
    <t>U237</t>
  </si>
  <si>
    <t>U238</t>
  </si>
  <si>
    <t>U239</t>
  </si>
  <si>
    <t>U240</t>
  </si>
  <si>
    <t>U241</t>
  </si>
  <si>
    <t>U242</t>
  </si>
  <si>
    <t>U243</t>
  </si>
  <si>
    <t>U244</t>
  </si>
  <si>
    <t>U245</t>
  </si>
  <si>
    <t>U246</t>
  </si>
  <si>
    <t>U247</t>
  </si>
  <si>
    <t>U248</t>
  </si>
  <si>
    <t>U249</t>
  </si>
  <si>
    <t>U250</t>
  </si>
  <si>
    <t>U251</t>
  </si>
  <si>
    <t>U252</t>
  </si>
  <si>
    <t>U253</t>
  </si>
  <si>
    <t>U254</t>
  </si>
  <si>
    <t>U255</t>
  </si>
  <si>
    <t>U256</t>
  </si>
  <si>
    <t>U257</t>
  </si>
  <si>
    <t>U258</t>
  </si>
  <si>
    <t>U259</t>
  </si>
  <si>
    <t>U260</t>
  </si>
  <si>
    <t>U261</t>
  </si>
  <si>
    <t>U262</t>
  </si>
  <si>
    <t>U263</t>
  </si>
  <si>
    <t>U264</t>
  </si>
  <si>
    <t>U265</t>
  </si>
  <si>
    <t>U266</t>
  </si>
  <si>
    <t>U267</t>
  </si>
  <si>
    <t>U268</t>
  </si>
  <si>
    <t>U269</t>
  </si>
  <si>
    <t>U270</t>
  </si>
  <si>
    <t>U271</t>
  </si>
  <si>
    <t>U272</t>
  </si>
  <si>
    <t>U273</t>
  </si>
  <si>
    <t>U274</t>
  </si>
  <si>
    <t>U275</t>
  </si>
  <si>
    <t>U276</t>
  </si>
  <si>
    <t>U277</t>
  </si>
  <si>
    <t>U278</t>
  </si>
  <si>
    <t>U279</t>
  </si>
  <si>
    <t>U280</t>
  </si>
  <si>
    <t>U281</t>
  </si>
  <si>
    <t>U282</t>
  </si>
  <si>
    <t>U283</t>
  </si>
  <si>
    <t>U284</t>
  </si>
  <si>
    <t>U285</t>
  </si>
  <si>
    <t>U286</t>
  </si>
  <si>
    <t>U287</t>
  </si>
  <si>
    <t>U288</t>
  </si>
  <si>
    <t>U289</t>
  </si>
  <si>
    <t>U290</t>
  </si>
  <si>
    <t>U291</t>
  </si>
  <si>
    <t>U292</t>
  </si>
  <si>
    <t>U293</t>
  </si>
  <si>
    <t>U294</t>
  </si>
  <si>
    <t>U295</t>
  </si>
  <si>
    <t>U296</t>
  </si>
  <si>
    <t>U297</t>
  </si>
  <si>
    <t>U298</t>
  </si>
  <si>
    <t>U299</t>
  </si>
  <si>
    <t>U300</t>
  </si>
  <si>
    <t>U301</t>
  </si>
  <si>
    <t>U302</t>
  </si>
  <si>
    <t>U303</t>
  </si>
  <si>
    <t>U304</t>
  </si>
  <si>
    <t>U305</t>
  </si>
  <si>
    <t>U306</t>
  </si>
  <si>
    <t>U307</t>
  </si>
  <si>
    <t>U308</t>
  </si>
  <si>
    <t>U309</t>
  </si>
  <si>
    <t>U310</t>
  </si>
  <si>
    <t>U311</t>
  </si>
  <si>
    <t>U312</t>
  </si>
  <si>
    <t>U313</t>
  </si>
  <si>
    <t>U314</t>
  </si>
  <si>
    <t>U315</t>
  </si>
  <si>
    <t>U316</t>
  </si>
  <si>
    <t>U317</t>
  </si>
  <si>
    <t>U318</t>
  </si>
  <si>
    <t>U319</t>
  </si>
  <si>
    <t>U320</t>
  </si>
  <si>
    <t>U321</t>
  </si>
  <si>
    <t>U322</t>
  </si>
  <si>
    <t>U323</t>
  </si>
  <si>
    <t>U324</t>
  </si>
  <si>
    <t>U325</t>
  </si>
  <si>
    <t>U326</t>
  </si>
  <si>
    <t>U327</t>
  </si>
  <si>
    <t>U328</t>
  </si>
  <si>
    <t>U329</t>
  </si>
  <si>
    <t>U330</t>
  </si>
  <si>
    <t>U331</t>
  </si>
  <si>
    <t>U332</t>
  </si>
  <si>
    <t>U333</t>
  </si>
  <si>
    <t>U334</t>
  </si>
  <si>
    <t>U335</t>
  </si>
  <si>
    <t>U336</t>
  </si>
  <si>
    <t>U337</t>
  </si>
  <si>
    <t>U338</t>
  </si>
  <si>
    <t>U339</t>
  </si>
  <si>
    <t>U340</t>
  </si>
  <si>
    <t>U341</t>
  </si>
  <si>
    <t>U342</t>
  </si>
  <si>
    <t>U343</t>
  </si>
  <si>
    <t>U344</t>
  </si>
  <si>
    <t>U345</t>
  </si>
  <si>
    <t>U346</t>
  </si>
  <si>
    <t>U347</t>
  </si>
  <si>
    <t>U348</t>
  </si>
  <si>
    <t>U352</t>
  </si>
  <si>
    <t>U349</t>
  </si>
  <si>
    <t>U350</t>
  </si>
  <si>
    <t>U351</t>
  </si>
  <si>
    <t>U353</t>
  </si>
  <si>
    <t>U354</t>
  </si>
  <si>
    <t>U355</t>
  </si>
  <si>
    <t>U356</t>
  </si>
  <si>
    <t>U357</t>
  </si>
  <si>
    <t>U358</t>
  </si>
  <si>
    <t>U359</t>
  </si>
  <si>
    <t>U360</t>
  </si>
  <si>
    <t>U361</t>
  </si>
  <si>
    <t>U362</t>
  </si>
  <si>
    <t>U367</t>
  </si>
  <si>
    <t>U363</t>
  </si>
  <si>
    <t>U364</t>
  </si>
  <si>
    <t>U365</t>
  </si>
  <si>
    <t>U366</t>
  </si>
  <si>
    <t>U368</t>
  </si>
  <si>
    <t>U369</t>
  </si>
  <si>
    <t>U370</t>
  </si>
  <si>
    <t>U371</t>
  </si>
  <si>
    <t>U372</t>
  </si>
  <si>
    <t>U373</t>
  </si>
  <si>
    <t>U374</t>
  </si>
  <si>
    <t>U375</t>
  </si>
  <si>
    <t>U376</t>
  </si>
  <si>
    <t>U377</t>
  </si>
  <si>
    <t>U378</t>
  </si>
  <si>
    <t>U379</t>
  </si>
  <si>
    <t>U380</t>
  </si>
  <si>
    <t>U381</t>
  </si>
  <si>
    <t>U382</t>
  </si>
  <si>
    <t>U383</t>
  </si>
  <si>
    <t>U384</t>
  </si>
  <si>
    <t>U385</t>
  </si>
  <si>
    <t>U386</t>
  </si>
  <si>
    <t>U387</t>
  </si>
  <si>
    <t>U388</t>
  </si>
  <si>
    <t>U389</t>
  </si>
  <si>
    <t>U390</t>
  </si>
  <si>
    <t>U391</t>
  </si>
  <si>
    <t>U392</t>
  </si>
  <si>
    <t>U393</t>
  </si>
  <si>
    <t>U394</t>
  </si>
  <si>
    <t>U395</t>
  </si>
  <si>
    <t>U396</t>
  </si>
  <si>
    <t>U397</t>
  </si>
  <si>
    <t>U398</t>
  </si>
  <si>
    <t>U399</t>
  </si>
  <si>
    <t>U400</t>
  </si>
  <si>
    <t>U401</t>
  </si>
  <si>
    <t>U402</t>
  </si>
  <si>
    <t>U403</t>
  </si>
  <si>
    <t>U404</t>
  </si>
  <si>
    <t>U405</t>
  </si>
  <si>
    <t>U406</t>
  </si>
  <si>
    <t>U407</t>
  </si>
  <si>
    <t>U408</t>
  </si>
  <si>
    <t>U409</t>
  </si>
  <si>
    <t>U410</t>
  </si>
  <si>
    <t>U411</t>
  </si>
  <si>
    <t>U412</t>
  </si>
  <si>
    <t>U413</t>
  </si>
  <si>
    <t>U414</t>
  </si>
  <si>
    <t>U415</t>
  </si>
  <si>
    <t>U416</t>
  </si>
  <si>
    <t>U417</t>
  </si>
  <si>
    <t>U418</t>
  </si>
  <si>
    <t>U419</t>
  </si>
  <si>
    <t>U420</t>
  </si>
  <si>
    <t>U421</t>
  </si>
  <si>
    <t>U422</t>
  </si>
  <si>
    <t>U423</t>
  </si>
  <si>
    <t>U424</t>
  </si>
  <si>
    <t>U425</t>
  </si>
  <si>
    <t>U426</t>
  </si>
  <si>
    <t>U427</t>
  </si>
  <si>
    <t>U428</t>
  </si>
  <si>
    <t>U429</t>
  </si>
  <si>
    <t>U430</t>
  </si>
  <si>
    <t>U431</t>
  </si>
  <si>
    <t>U432</t>
  </si>
  <si>
    <t>U433</t>
  </si>
  <si>
    <t>U434</t>
  </si>
  <si>
    <t>U435</t>
  </si>
  <si>
    <t>U436</t>
  </si>
  <si>
    <t>U437</t>
  </si>
  <si>
    <t>U438</t>
  </si>
  <si>
    <t>U439</t>
  </si>
  <si>
    <t>U440</t>
  </si>
  <si>
    <t>U441</t>
  </si>
  <si>
    <t>U442</t>
  </si>
  <si>
    <t>U443</t>
  </si>
  <si>
    <t>U444</t>
  </si>
  <si>
    <t>U445</t>
  </si>
  <si>
    <t>U447</t>
  </si>
  <si>
    <t>U448</t>
  </si>
  <si>
    <t>U446</t>
  </si>
  <si>
    <t>U449</t>
  </si>
  <si>
    <t>U450</t>
  </si>
  <si>
    <t>U451</t>
  </si>
  <si>
    <t>U452</t>
  </si>
  <si>
    <t>U453</t>
  </si>
  <si>
    <t>U454</t>
  </si>
  <si>
    <t>U455</t>
  </si>
  <si>
    <t>U456</t>
  </si>
  <si>
    <t>U457</t>
  </si>
  <si>
    <t>U458</t>
  </si>
  <si>
    <t>U459</t>
  </si>
  <si>
    <t>U460</t>
  </si>
  <si>
    <t>U461</t>
  </si>
  <si>
    <t>U462</t>
  </si>
  <si>
    <t>U463</t>
  </si>
  <si>
    <t>U464</t>
  </si>
  <si>
    <t>U465</t>
  </si>
  <si>
    <t>U466</t>
  </si>
  <si>
    <t>U467</t>
  </si>
  <si>
    <t>U468</t>
  </si>
  <si>
    <t>U469</t>
  </si>
  <si>
    <t>U470</t>
  </si>
  <si>
    <t>U471</t>
  </si>
  <si>
    <t>U472</t>
  </si>
  <si>
    <t>U473</t>
  </si>
  <si>
    <t>U474</t>
  </si>
  <si>
    <t>U475</t>
  </si>
  <si>
    <t>U476</t>
  </si>
  <si>
    <t>U477</t>
  </si>
  <si>
    <t>U478</t>
  </si>
  <si>
    <t>U479</t>
  </si>
  <si>
    <t>U480</t>
  </si>
  <si>
    <t>U481</t>
  </si>
  <si>
    <t>U482</t>
  </si>
  <si>
    <t>U483</t>
  </si>
  <si>
    <t>U484</t>
  </si>
  <si>
    <t>U485</t>
  </si>
  <si>
    <t>U486</t>
  </si>
  <si>
    <t>U487</t>
  </si>
  <si>
    <t>U488</t>
  </si>
  <si>
    <t>U489</t>
  </si>
  <si>
    <t>U490</t>
  </si>
  <si>
    <t>U491</t>
  </si>
  <si>
    <t>U492</t>
  </si>
  <si>
    <t>U493</t>
  </si>
  <si>
    <t>U494</t>
  </si>
  <si>
    <t>U495</t>
  </si>
  <si>
    <t>U496</t>
  </si>
  <si>
    <t>U497</t>
  </si>
  <si>
    <t>U498</t>
  </si>
  <si>
    <t>U499</t>
  </si>
  <si>
    <t>U500</t>
  </si>
  <si>
    <t>U501</t>
  </si>
  <si>
    <t>U502</t>
  </si>
  <si>
    <t>U503</t>
  </si>
  <si>
    <t>U504</t>
  </si>
  <si>
    <t>U505</t>
  </si>
  <si>
    <t>U506</t>
  </si>
  <si>
    <t>U507</t>
  </si>
  <si>
    <t>U508</t>
  </si>
  <si>
    <t>U509</t>
  </si>
  <si>
    <t>U510</t>
  </si>
  <si>
    <t>U511</t>
  </si>
  <si>
    <t>U512</t>
  </si>
  <si>
    <t>U513</t>
  </si>
  <si>
    <t>U514</t>
  </si>
  <si>
    <t>U515</t>
  </si>
  <si>
    <t>U516</t>
  </si>
  <si>
    <t>U517</t>
  </si>
  <si>
    <t>U518</t>
  </si>
  <si>
    <t>U519</t>
  </si>
  <si>
    <t>U520</t>
  </si>
  <si>
    <t>U521</t>
  </si>
  <si>
    <t>U522</t>
  </si>
  <si>
    <t>U523</t>
  </si>
  <si>
    <t>U524</t>
  </si>
  <si>
    <t>U525</t>
  </si>
  <si>
    <t>U526</t>
  </si>
  <si>
    <t>U527</t>
  </si>
  <si>
    <t>U528</t>
  </si>
  <si>
    <t>U529</t>
  </si>
  <si>
    <t>U530</t>
  </si>
  <si>
    <t>U531</t>
  </si>
  <si>
    <t>U532</t>
  </si>
  <si>
    <t>U533</t>
  </si>
  <si>
    <t>U534</t>
  </si>
  <si>
    <t>U535</t>
  </si>
  <si>
    <t>U536</t>
  </si>
  <si>
    <t>U537</t>
  </si>
  <si>
    <t>U538</t>
  </si>
  <si>
    <t>U539</t>
  </si>
  <si>
    <t>U540</t>
  </si>
  <si>
    <t>U541</t>
  </si>
  <si>
    <t>U542</t>
  </si>
  <si>
    <t>U543</t>
  </si>
  <si>
    <t>U544</t>
  </si>
  <si>
    <t>U545</t>
  </si>
  <si>
    <t>U546</t>
  </si>
  <si>
    <t>U547</t>
  </si>
  <si>
    <t>U548</t>
  </si>
  <si>
    <t>U549</t>
  </si>
  <si>
    <t>U550</t>
  </si>
  <si>
    <t>U551</t>
  </si>
  <si>
    <t>U552</t>
  </si>
  <si>
    <t>U553</t>
  </si>
  <si>
    <t>U554</t>
  </si>
  <si>
    <t>U555</t>
  </si>
  <si>
    <t>U556</t>
  </si>
  <si>
    <t>U557</t>
  </si>
  <si>
    <t>U558</t>
  </si>
  <si>
    <t>U559</t>
  </si>
  <si>
    <t>U560</t>
  </si>
  <si>
    <t>U561</t>
  </si>
  <si>
    <t>U562</t>
  </si>
  <si>
    <t>U563</t>
  </si>
  <si>
    <t>U564</t>
  </si>
  <si>
    <t>U565</t>
  </si>
  <si>
    <t>U566</t>
  </si>
  <si>
    <t>U567</t>
  </si>
  <si>
    <t>U568</t>
  </si>
  <si>
    <t>U569</t>
  </si>
  <si>
    <t>U570</t>
  </si>
  <si>
    <t>U571</t>
  </si>
  <si>
    <t>U572</t>
  </si>
  <si>
    <t>U573</t>
  </si>
  <si>
    <t>U574</t>
  </si>
  <si>
    <t>U575</t>
  </si>
  <si>
    <t>U576</t>
  </si>
  <si>
    <t>U577</t>
  </si>
  <si>
    <t>U578</t>
  </si>
  <si>
    <t>U579</t>
  </si>
  <si>
    <t>U580</t>
  </si>
  <si>
    <t>U581</t>
  </si>
  <si>
    <t>U582</t>
  </si>
  <si>
    <t>U583</t>
  </si>
  <si>
    <t>U584</t>
  </si>
  <si>
    <t>U585</t>
  </si>
  <si>
    <t>U586</t>
  </si>
  <si>
    <t>U587</t>
  </si>
  <si>
    <t>U588</t>
  </si>
  <si>
    <t>U589</t>
  </si>
  <si>
    <t>U590</t>
  </si>
  <si>
    <t>U591</t>
  </si>
  <si>
    <t>U592</t>
  </si>
  <si>
    <t>U593</t>
  </si>
  <si>
    <t>U594</t>
  </si>
  <si>
    <t>U595</t>
  </si>
  <si>
    <t>U596</t>
  </si>
  <si>
    <t>U597</t>
  </si>
  <si>
    <t>U598</t>
  </si>
  <si>
    <t>U599</t>
  </si>
  <si>
    <t>U600</t>
  </si>
  <si>
    <t>U601</t>
  </si>
  <si>
    <t>U602</t>
  </si>
  <si>
    <t>U603</t>
  </si>
  <si>
    <t>U604</t>
  </si>
  <si>
    <t>U605</t>
  </si>
  <si>
    <t>U606</t>
  </si>
  <si>
    <t>U607</t>
  </si>
  <si>
    <t>U608</t>
  </si>
  <si>
    <t>U609</t>
  </si>
  <si>
    <t>U610</t>
  </si>
  <si>
    <t>U611</t>
  </si>
  <si>
    <t>U612</t>
  </si>
  <si>
    <t>U613</t>
  </si>
  <si>
    <t>U614</t>
  </si>
  <si>
    <t>U615</t>
  </si>
  <si>
    <t>U616</t>
  </si>
  <si>
    <t>U617</t>
  </si>
  <si>
    <t>U618</t>
  </si>
  <si>
    <t>U619</t>
  </si>
  <si>
    <t>U620</t>
  </si>
  <si>
    <t>U621</t>
  </si>
  <si>
    <t>U622</t>
  </si>
  <si>
    <t>U623</t>
  </si>
  <si>
    <t>U624</t>
  </si>
  <si>
    <t>U625</t>
  </si>
  <si>
    <t>U626</t>
  </si>
  <si>
    <t>U627</t>
  </si>
  <si>
    <t>U628</t>
  </si>
  <si>
    <t>U629</t>
  </si>
  <si>
    <t>U630</t>
  </si>
  <si>
    <t>U631</t>
  </si>
  <si>
    <t>U632</t>
  </si>
  <si>
    <t>U633</t>
  </si>
  <si>
    <t>U634</t>
  </si>
  <si>
    <t>U635</t>
  </si>
  <si>
    <t>U636</t>
  </si>
  <si>
    <t>U637</t>
  </si>
  <si>
    <t>U638</t>
  </si>
  <si>
    <t>U639</t>
  </si>
  <si>
    <t>U640</t>
  </si>
  <si>
    <t>U641</t>
  </si>
  <si>
    <t>U642</t>
  </si>
  <si>
    <t>U643</t>
  </si>
  <si>
    <t>U644</t>
  </si>
  <si>
    <t>U645</t>
  </si>
  <si>
    <t>U646</t>
  </si>
  <si>
    <t>U647</t>
  </si>
  <si>
    <t>U648</t>
  </si>
  <si>
    <t>U649</t>
  </si>
  <si>
    <t>U650</t>
  </si>
  <si>
    <t>U651</t>
  </si>
  <si>
    <t>U652</t>
  </si>
  <si>
    <t>U653</t>
  </si>
  <si>
    <t>U654</t>
  </si>
  <si>
    <t>U655</t>
  </si>
  <si>
    <t>U656</t>
  </si>
  <si>
    <t>U657</t>
  </si>
  <si>
    <t>U658</t>
  </si>
  <si>
    <t>U659</t>
  </si>
  <si>
    <t>U660</t>
  </si>
  <si>
    <t>U661</t>
  </si>
  <si>
    <t>U662</t>
  </si>
  <si>
    <t>U663</t>
  </si>
  <si>
    <t>U664</t>
  </si>
  <si>
    <t>U665</t>
  </si>
  <si>
    <t>U666</t>
  </si>
  <si>
    <t>U667</t>
  </si>
  <si>
    <t>U668</t>
  </si>
  <si>
    <t>U669</t>
  </si>
  <si>
    <t>U670</t>
  </si>
  <si>
    <t>U671</t>
  </si>
  <si>
    <t>U672</t>
  </si>
  <si>
    <t>U673</t>
  </si>
  <si>
    <t>U674</t>
  </si>
  <si>
    <t>U675</t>
  </si>
  <si>
    <t>U676</t>
  </si>
  <si>
    <t>U677</t>
  </si>
  <si>
    <t>U678</t>
  </si>
  <si>
    <t>U679</t>
  </si>
  <si>
    <t>U680</t>
  </si>
  <si>
    <t>U681</t>
  </si>
  <si>
    <t>U682</t>
  </si>
  <si>
    <t>U683</t>
  </si>
  <si>
    <t>U684</t>
  </si>
  <si>
    <t>U685</t>
  </si>
  <si>
    <t>U686</t>
  </si>
  <si>
    <t>U687</t>
  </si>
  <si>
    <t>U688</t>
  </si>
  <si>
    <t>U689</t>
  </si>
  <si>
    <t>U690</t>
  </si>
  <si>
    <t>U691</t>
  </si>
  <si>
    <t>U692</t>
  </si>
  <si>
    <t>U693</t>
  </si>
  <si>
    <t>U694</t>
  </si>
  <si>
    <t>U695</t>
  </si>
  <si>
    <t>U696</t>
  </si>
  <si>
    <t>U697</t>
  </si>
  <si>
    <t>U699</t>
  </si>
  <si>
    <t>U698</t>
  </si>
  <si>
    <t>U700</t>
  </si>
  <si>
    <t>U701</t>
  </si>
  <si>
    <t>U702</t>
  </si>
  <si>
    <t>U703</t>
  </si>
  <si>
    <t>U704</t>
  </si>
  <si>
    <t>U705</t>
  </si>
  <si>
    <t>U706</t>
  </si>
  <si>
    <t>U707</t>
  </si>
  <si>
    <t>U708</t>
  </si>
  <si>
    <t>U709</t>
  </si>
  <si>
    <t>U710</t>
  </si>
  <si>
    <t>U711</t>
  </si>
  <si>
    <t>U712</t>
  </si>
  <si>
    <t>U713</t>
  </si>
  <si>
    <t>U714</t>
  </si>
  <si>
    <t>U715</t>
  </si>
  <si>
    <t>U716</t>
  </si>
  <si>
    <t>U717</t>
  </si>
  <si>
    <t>U718</t>
  </si>
  <si>
    <t>U719</t>
  </si>
  <si>
    <t>U720</t>
  </si>
  <si>
    <t>U721</t>
  </si>
  <si>
    <t>U722</t>
  </si>
  <si>
    <t>U723</t>
  </si>
  <si>
    <t>U724</t>
  </si>
  <si>
    <t>U725</t>
  </si>
  <si>
    <t>U726</t>
  </si>
  <si>
    <t>U727</t>
  </si>
  <si>
    <t>U728</t>
  </si>
  <si>
    <t>U729</t>
  </si>
  <si>
    <t>U730</t>
  </si>
  <si>
    <t>U731</t>
  </si>
  <si>
    <t>U732</t>
  </si>
  <si>
    <t>U733</t>
  </si>
  <si>
    <t>U734</t>
  </si>
  <si>
    <t>U735</t>
  </si>
  <si>
    <t>U736</t>
  </si>
  <si>
    <t>U737</t>
  </si>
  <si>
    <t>U738</t>
  </si>
  <si>
    <t>U739</t>
  </si>
  <si>
    <t>U740</t>
  </si>
  <si>
    <t>U741</t>
  </si>
  <si>
    <t>U742</t>
  </si>
  <si>
    <t>U743</t>
  </si>
  <si>
    <t>U744</t>
  </si>
  <si>
    <t>U745</t>
  </si>
  <si>
    <t>U746</t>
  </si>
  <si>
    <t>U747</t>
  </si>
  <si>
    <t>U748</t>
  </si>
  <si>
    <t>U749</t>
  </si>
  <si>
    <t>U750</t>
  </si>
  <si>
    <t>U751</t>
  </si>
  <si>
    <t>U752</t>
  </si>
  <si>
    <t>U753</t>
  </si>
  <si>
    <t>U754</t>
  </si>
  <si>
    <t>U755</t>
  </si>
  <si>
    <t>U756</t>
  </si>
  <si>
    <t>U757</t>
  </si>
  <si>
    <t>U758</t>
  </si>
  <si>
    <t>U759</t>
  </si>
  <si>
    <t>U760</t>
  </si>
  <si>
    <t>U761</t>
  </si>
  <si>
    <t>U762</t>
  </si>
  <si>
    <t>U763</t>
  </si>
  <si>
    <t>U764</t>
  </si>
  <si>
    <t>U765</t>
  </si>
  <si>
    <t>U766</t>
  </si>
  <si>
    <t>U767</t>
  </si>
  <si>
    <t>U768</t>
  </si>
  <si>
    <t>U769</t>
  </si>
  <si>
    <t>U770</t>
  </si>
  <si>
    <t>U771</t>
  </si>
  <si>
    <t>U772</t>
  </si>
  <si>
    <t>U773</t>
  </si>
  <si>
    <t>U774</t>
  </si>
  <si>
    <t>,</t>
  </si>
  <si>
    <t>U775</t>
  </si>
  <si>
    <t>U776</t>
  </si>
  <si>
    <t>U777</t>
  </si>
  <si>
    <t>Teresa Canal/Jaime Mendieta</t>
  </si>
  <si>
    <t>Carrera 12</t>
  </si>
  <si>
    <t>Cll. 8 - Cll.9</t>
  </si>
  <si>
    <t>U778</t>
  </si>
  <si>
    <t>1M</t>
  </si>
  <si>
    <t>11L</t>
  </si>
  <si>
    <t>13H</t>
  </si>
  <si>
    <t>13L</t>
  </si>
  <si>
    <t>19M</t>
  </si>
  <si>
    <t/>
  </si>
  <si>
    <t>MUY MALO</t>
  </si>
  <si>
    <t>U779</t>
  </si>
  <si>
    <t>11M</t>
  </si>
  <si>
    <t>13M</t>
  </si>
  <si>
    <t>11H</t>
  </si>
  <si>
    <t>FALLADO</t>
  </si>
  <si>
    <t>6M</t>
  </si>
  <si>
    <t>19L</t>
  </si>
  <si>
    <t>U780</t>
  </si>
  <si>
    <t>Cll. 9 - Cll.10</t>
  </si>
  <si>
    <t>U781</t>
  </si>
  <si>
    <t>10M</t>
  </si>
  <si>
    <t>U782</t>
  </si>
  <si>
    <t>4L</t>
  </si>
  <si>
    <t>U783</t>
  </si>
  <si>
    <t>6L</t>
  </si>
  <si>
    <t>16M</t>
  </si>
  <si>
    <t>U784</t>
  </si>
  <si>
    <t>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</si>
</sst>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8"/>
      <color theme="1"/>
      <name val="Times New Roman"/>
      <family val="1"/>
    </font>
    <font>
      <sz val="11"/>
      <name val="Times New Roman"/>
      <family val="1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2" xfId="0" applyBorder="1"/>
    <xf numFmtId="0" fontId="1" fillId="0" borderId="0" xfId="0" applyFont="1"/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/>
    <xf numFmtId="0" fontId="0" fillId="0" borderId="0" xfId="0"/>
    <xf numFmtId="0" fontId="1" fillId="0" borderId="8" xfId="0" applyFont="1" applyBorder="1"/>
    <xf numFmtId="164" fontId="1" fillId="0" borderId="8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0" xfId="0" applyFont="1" applyAlignment="1">
      <alignment horizontal="right"/>
    </xf>
    <xf numFmtId="14" fontId="5" fillId="0" borderId="4" xfId="0" applyNumberFormat="1" applyFont="1" applyBorder="1" applyAlignment="1">
      <alignment vertical="center"/>
    </xf>
    <xf numFmtId="0" fontId="5" fillId="0" borderId="2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2" fontId="5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64" fontId="5" fillId="0" borderId="8" xfId="0" applyNumberFormat="1" applyFont="1" applyBorder="1" applyAlignment="1">
      <alignment horizontal="center" vertical="center"/>
    </xf>
    <xf numFmtId="0" fontId="1" fillId="0" borderId="1" xfId="0" applyFont="1" applyBorder="1" applyAlignment="1"/>
    <xf numFmtId="0" fontId="1" fillId="0" borderId="3" xfId="0" applyFont="1" applyBorder="1" applyAlignment="1">
      <alignment horizontal="center"/>
    </xf>
    <xf numFmtId="164" fontId="1" fillId="0" borderId="8" xfId="0" applyNumberFormat="1" applyFont="1" applyBorder="1"/>
    <xf numFmtId="2" fontId="1" fillId="0" borderId="8" xfId="0" applyNumberFormat="1" applyFont="1" applyBorder="1"/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/>
    <xf numFmtId="164" fontId="1" fillId="0" borderId="0" xfId="0" applyNumberFormat="1" applyFont="1" applyAlignment="1">
      <alignment horizontal="right"/>
    </xf>
    <xf numFmtId="0" fontId="6" fillId="0" borderId="0" xfId="0" applyFont="1"/>
    <xf numFmtId="0" fontId="0" fillId="0" borderId="8" xfId="0" applyBorder="1"/>
    <xf numFmtId="0" fontId="1" fillId="0" borderId="0" xfId="0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center" vertical="center"/>
    </xf>
    <xf numFmtId="0" fontId="9" fillId="0" borderId="0" xfId="0" applyFont="1"/>
    <xf numFmtId="0" fontId="1" fillId="0" borderId="0" xfId="0" applyFont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0" xfId="0"/>
    <xf numFmtId="0" fontId="1" fillId="0" borderId="8" xfId="0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0" xfId="0" applyFill="1"/>
    <xf numFmtId="2" fontId="5" fillId="0" borderId="1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2" fontId="10" fillId="0" borderId="4" xfId="0" applyNumberFormat="1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2" fontId="10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1" fillId="0" borderId="2" xfId="0" applyFont="1" applyBorder="1" applyAlignment="1">
      <alignment horizontal="right"/>
    </xf>
    <xf numFmtId="0" fontId="2" fillId="0" borderId="0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6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0</xdr:row>
          <xdr:rowOff>180975</xdr:rowOff>
        </xdr:from>
        <xdr:to>
          <xdr:col>18</xdr:col>
          <xdr:colOff>219075</xdr:colOff>
          <xdr:row>2</xdr:row>
          <xdr:rowOff>66675</xdr:rowOff>
        </xdr:to>
        <xdr:sp macro="" textlink="">
          <xdr:nvSpPr>
            <xdr:cNvPr id="9219" name="Calcula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4</xdr:row>
          <xdr:rowOff>180975</xdr:rowOff>
        </xdr:from>
        <xdr:to>
          <xdr:col>18</xdr:col>
          <xdr:colOff>228600</xdr:colOff>
          <xdr:row>6</xdr:row>
          <xdr:rowOff>95250</xdr:rowOff>
        </xdr:to>
        <xdr:sp macro="" textlink="">
          <xdr:nvSpPr>
            <xdr:cNvPr id="9220" name="Remover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2</xdr:row>
          <xdr:rowOff>161925</xdr:rowOff>
        </xdr:from>
        <xdr:to>
          <xdr:col>18</xdr:col>
          <xdr:colOff>219075</xdr:colOff>
          <xdr:row>4</xdr:row>
          <xdr:rowOff>85725</xdr:rowOff>
        </xdr:to>
        <xdr:sp macro="" textlink="">
          <xdr:nvSpPr>
            <xdr:cNvPr id="9221" name="Registrar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</xdr:row>
          <xdr:rowOff>123825</xdr:rowOff>
        </xdr:from>
        <xdr:to>
          <xdr:col>27</xdr:col>
          <xdr:colOff>228600</xdr:colOff>
          <xdr:row>7</xdr:row>
          <xdr:rowOff>161925</xdr:rowOff>
        </xdr:to>
        <xdr:sp macro="" textlink="">
          <xdr:nvSpPr>
            <xdr:cNvPr id="9222" name="Reiniciar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N61"/>
  <sheetViews>
    <sheetView tabSelected="1" zoomScale="115" zoomScaleNormal="115" workbookViewId="0">
      <selection activeCell="Q22" sqref="Q22:V22"/>
    </sheetView>
  </sheetViews>
  <sheetFormatPr baseColWidth="10" defaultRowHeight="15" x14ac:dyDescent="0.25"/>
  <cols>
    <col min="1" max="1" width="8.140625" style="7" customWidth="1"/>
    <col min="2" max="2" width="8.42578125" style="7" customWidth="1"/>
    <col min="3" max="3" width="9.140625" style="7" customWidth="1"/>
    <col min="4" max="4" width="9" style="7" customWidth="1"/>
    <col min="5" max="5" width="8.7109375" style="7" customWidth="1"/>
    <col min="6" max="6" width="7" style="7" customWidth="1"/>
    <col min="7" max="7" width="7.42578125" style="7" customWidth="1"/>
    <col min="8" max="8" width="9.85546875" style="7" customWidth="1"/>
    <col min="9" max="9" width="7.42578125" style="7" customWidth="1"/>
    <col min="10" max="10" width="10.42578125" style="7" customWidth="1"/>
    <col min="11" max="11" width="5.85546875" style="7" customWidth="1"/>
    <col min="12" max="12" width="8.7109375" style="7" customWidth="1"/>
    <col min="13" max="13" width="11.85546875" style="7" customWidth="1"/>
    <col min="14" max="14" width="13.28515625" style="7" bestFit="1" customWidth="1"/>
    <col min="15" max="16" width="3.7109375" style="7" customWidth="1"/>
    <col min="17" max="17" width="6.140625" style="7" customWidth="1"/>
    <col min="18" max="18" width="4.85546875" style="7" customWidth="1"/>
    <col min="19" max="20" width="5" style="7" customWidth="1"/>
    <col min="21" max="21" width="4.85546875" style="7" customWidth="1"/>
    <col min="22" max="22" width="5" style="7" customWidth="1"/>
    <col min="23" max="23" width="4.85546875" style="7" customWidth="1"/>
    <col min="24" max="24" width="4.42578125" style="7" customWidth="1"/>
    <col min="25" max="25" width="4.28515625" style="7" customWidth="1"/>
    <col min="26" max="26" width="4.140625" style="7" customWidth="1"/>
    <col min="27" max="27" width="4.28515625" style="7" customWidth="1"/>
    <col min="28" max="28" width="3.85546875" style="7" customWidth="1"/>
    <col min="29" max="29" width="6" style="7" customWidth="1"/>
    <col min="30" max="30" width="3" style="7" customWidth="1"/>
    <col min="31" max="31" width="5.5703125" style="7" customWidth="1"/>
    <col min="32" max="32" width="6.140625" style="7" bestFit="1" customWidth="1"/>
    <col min="33" max="33" width="7.7109375" style="7" bestFit="1" customWidth="1"/>
    <col min="34" max="34" width="8.5703125" style="7" bestFit="1" customWidth="1"/>
    <col min="35" max="35" width="3.85546875" style="7" customWidth="1"/>
    <col min="36" max="36" width="3.7109375" style="7" customWidth="1"/>
    <col min="37" max="39" width="11.42578125" style="7"/>
    <col min="40" max="40" width="13.42578125" style="7" customWidth="1"/>
    <col min="41" max="16384" width="11.42578125" style="7"/>
  </cols>
  <sheetData>
    <row r="1" spans="1:35" ht="15.75" thickBot="1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67" t="s">
        <v>1</v>
      </c>
      <c r="K1" s="67"/>
      <c r="L1" s="67"/>
      <c r="M1" s="67"/>
      <c r="N1" s="67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</row>
    <row r="2" spans="1:35" ht="15.75" thickBot="1" x14ac:dyDescent="0.3">
      <c r="A2" s="71" t="s">
        <v>2</v>
      </c>
      <c r="B2" s="71"/>
      <c r="C2" s="71"/>
      <c r="D2" s="71"/>
      <c r="E2" s="71"/>
      <c r="F2" s="71"/>
      <c r="G2" s="71"/>
      <c r="H2" s="71"/>
      <c r="I2" s="71"/>
      <c r="J2" s="67"/>
      <c r="K2" s="67"/>
      <c r="L2" s="67"/>
      <c r="M2" s="67"/>
      <c r="N2" s="67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</row>
    <row r="3" spans="1:35" ht="15.75" thickBot="1" x14ac:dyDescent="0.3">
      <c r="A3" s="72" t="s">
        <v>3</v>
      </c>
      <c r="B3" s="72"/>
      <c r="C3" s="72"/>
      <c r="D3" s="72"/>
      <c r="E3" s="72"/>
      <c r="F3" s="72"/>
      <c r="G3" s="72"/>
      <c r="H3" s="73"/>
      <c r="I3" s="72"/>
      <c r="J3" s="68"/>
      <c r="K3" s="68"/>
      <c r="L3" s="68"/>
      <c r="M3" s="68"/>
      <c r="N3" s="68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</row>
    <row r="4" spans="1:35" x14ac:dyDescent="0.25">
      <c r="A4" s="74" t="s">
        <v>22</v>
      </c>
      <c r="B4" s="74"/>
      <c r="C4" s="74"/>
      <c r="D4" s="75" t="s">
        <v>837</v>
      </c>
      <c r="E4" s="75"/>
      <c r="F4" s="75"/>
      <c r="G4" s="76"/>
      <c r="H4" s="40" t="s">
        <v>35</v>
      </c>
      <c r="I4" s="12">
        <v>1</v>
      </c>
      <c r="J4" s="11" t="s">
        <v>33</v>
      </c>
      <c r="K4" s="56">
        <v>8.1</v>
      </c>
      <c r="L4" s="5"/>
      <c r="M4" s="11" t="s">
        <v>36</v>
      </c>
      <c r="N4" s="15">
        <v>43415</v>
      </c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</row>
    <row r="5" spans="1:35" x14ac:dyDescent="0.25">
      <c r="A5" s="65" t="s">
        <v>37</v>
      </c>
      <c r="B5" s="65"/>
      <c r="C5" s="65"/>
      <c r="D5" s="77" t="s">
        <v>838</v>
      </c>
      <c r="E5" s="77"/>
      <c r="F5" s="77"/>
      <c r="G5" s="78"/>
      <c r="H5" s="40" t="s">
        <v>38</v>
      </c>
      <c r="I5" s="12">
        <v>1</v>
      </c>
      <c r="J5" s="11" t="s">
        <v>39</v>
      </c>
      <c r="K5" s="58">
        <v>37.700000000000003</v>
      </c>
      <c r="L5" s="65" t="s">
        <v>40</v>
      </c>
      <c r="M5" s="65"/>
      <c r="N5" s="55" t="s">
        <v>864</v>
      </c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</row>
    <row r="6" spans="1:35" ht="15.75" thickBot="1" x14ac:dyDescent="0.3">
      <c r="A6" s="66" t="s">
        <v>41</v>
      </c>
      <c r="B6" s="66"/>
      <c r="C6" s="66"/>
      <c r="D6" s="79" t="s">
        <v>856</v>
      </c>
      <c r="E6" s="79"/>
      <c r="F6" s="79"/>
      <c r="G6" s="80"/>
      <c r="H6" s="33"/>
      <c r="J6" s="1"/>
      <c r="L6" s="4"/>
      <c r="M6" s="16" t="s">
        <v>42</v>
      </c>
      <c r="N6" s="57">
        <f>K4*K5</f>
        <v>305.37</v>
      </c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</row>
    <row r="7" spans="1:35" x14ac:dyDescent="0.25">
      <c r="A7" s="64" t="s">
        <v>4</v>
      </c>
      <c r="B7" s="64"/>
      <c r="C7" s="10"/>
      <c r="D7" s="64" t="s">
        <v>833</v>
      </c>
      <c r="E7" s="69"/>
      <c r="F7" s="69"/>
      <c r="G7" s="69"/>
      <c r="H7" s="64" t="s">
        <v>5</v>
      </c>
      <c r="I7" s="69"/>
      <c r="J7" s="64"/>
      <c r="K7" s="69"/>
      <c r="L7" s="69" t="s">
        <v>43</v>
      </c>
      <c r="M7" s="69"/>
      <c r="N7" s="69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</row>
    <row r="8" spans="1:35" x14ac:dyDescent="0.25">
      <c r="A8" s="64" t="s">
        <v>6</v>
      </c>
      <c r="B8" s="64"/>
      <c r="C8" s="10"/>
      <c r="D8" s="64" t="s">
        <v>7</v>
      </c>
      <c r="E8" s="64"/>
      <c r="F8" s="64"/>
      <c r="G8" s="64"/>
      <c r="H8" s="64" t="s">
        <v>8</v>
      </c>
      <c r="I8" s="64"/>
      <c r="J8" s="64"/>
      <c r="K8" s="64"/>
      <c r="L8" s="64" t="s">
        <v>44</v>
      </c>
      <c r="M8" s="64"/>
      <c r="N8" s="64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</row>
    <row r="9" spans="1:35" x14ac:dyDescent="0.25">
      <c r="A9" s="64" t="s">
        <v>9</v>
      </c>
      <c r="B9" s="64"/>
      <c r="C9" s="10"/>
      <c r="D9" s="64" t="s">
        <v>10</v>
      </c>
      <c r="E9" s="64"/>
      <c r="F9" s="64"/>
      <c r="G9" s="64"/>
      <c r="H9" s="64" t="s">
        <v>11</v>
      </c>
      <c r="I9" s="64"/>
      <c r="J9" s="64"/>
      <c r="K9" s="64"/>
      <c r="L9" s="10" t="s">
        <v>45</v>
      </c>
      <c r="M9" s="10"/>
      <c r="N9" s="10"/>
      <c r="O9" s="5"/>
    </row>
    <row r="10" spans="1:35" x14ac:dyDescent="0.25">
      <c r="A10" s="3" t="s">
        <v>12</v>
      </c>
      <c r="B10" s="3"/>
      <c r="C10" s="10"/>
      <c r="D10" s="64" t="s">
        <v>13</v>
      </c>
      <c r="E10" s="64"/>
      <c r="F10" s="64"/>
      <c r="G10" s="64"/>
      <c r="H10" s="64" t="s">
        <v>46</v>
      </c>
      <c r="I10" s="64"/>
      <c r="J10" s="64"/>
      <c r="K10" s="64"/>
      <c r="L10" s="10" t="s">
        <v>47</v>
      </c>
      <c r="M10" s="10"/>
      <c r="N10" s="10"/>
    </row>
    <row r="11" spans="1:35" x14ac:dyDescent="0.25">
      <c r="A11" s="64" t="s">
        <v>15</v>
      </c>
      <c r="B11" s="64"/>
      <c r="C11" s="10"/>
      <c r="D11" s="64" t="s">
        <v>16</v>
      </c>
      <c r="E11" s="64"/>
      <c r="F11" s="64"/>
      <c r="G11" s="64"/>
      <c r="H11" s="64" t="s">
        <v>48</v>
      </c>
      <c r="I11" s="64"/>
      <c r="J11" s="64"/>
      <c r="K11" s="64"/>
      <c r="L11" s="10" t="s">
        <v>14</v>
      </c>
      <c r="M11" s="10"/>
      <c r="N11" s="10"/>
    </row>
    <row r="12" spans="1:35" ht="25.5" x14ac:dyDescent="0.25">
      <c r="A12" s="17" t="s">
        <v>17</v>
      </c>
      <c r="B12" s="84" t="s">
        <v>18</v>
      </c>
      <c r="C12" s="84"/>
      <c r="D12" s="84"/>
      <c r="E12" s="84"/>
      <c r="F12" s="84"/>
      <c r="G12" s="84"/>
      <c r="H12" s="84"/>
      <c r="I12" s="84"/>
      <c r="J12" s="84"/>
      <c r="K12" s="84"/>
      <c r="L12" s="17" t="s">
        <v>19</v>
      </c>
      <c r="M12" s="17" t="s">
        <v>20</v>
      </c>
      <c r="N12" s="18" t="s">
        <v>21</v>
      </c>
      <c r="AH12" s="42" t="s">
        <v>56</v>
      </c>
    </row>
    <row r="13" spans="1:35" ht="15.75" thickBot="1" x14ac:dyDescent="0.3">
      <c r="A13" s="49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19" t="str">
        <f t="shared" ref="L13:L19" si="0">IF(B13="","",SUM(B13:K13))</f>
        <v/>
      </c>
      <c r="M13" s="20" t="str">
        <f t="shared" ref="M13:M18" si="1">IF(L13="","",(L13/N$6)*100)</f>
        <v/>
      </c>
      <c r="N13" s="21" t="str">
        <f>IF(A13="","",IF(B13="","",wichFun(A13,M13)))</f>
        <v/>
      </c>
      <c r="P13" s="85" t="s">
        <v>24</v>
      </c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2"/>
      <c r="AG13" s="2"/>
      <c r="AH13" s="45"/>
      <c r="AI13" s="2"/>
    </row>
    <row r="14" spans="1:35" ht="15.75" thickBot="1" x14ac:dyDescent="0.3">
      <c r="A14" s="49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19" t="str">
        <f t="shared" si="0"/>
        <v/>
      </c>
      <c r="M14" s="20" t="str">
        <f t="shared" si="1"/>
        <v/>
      </c>
      <c r="N14" s="21" t="str">
        <f>IF(A14="","",IF(B14="","",wichFun(A14,M14)))</f>
        <v/>
      </c>
      <c r="P14" s="86" t="s">
        <v>25</v>
      </c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2"/>
      <c r="AG14" s="2"/>
      <c r="AH14" s="45"/>
      <c r="AI14" s="2"/>
    </row>
    <row r="15" spans="1:35" ht="15.75" thickBot="1" x14ac:dyDescent="0.3">
      <c r="A15" s="49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19" t="str">
        <f t="shared" si="0"/>
        <v/>
      </c>
      <c r="M15" s="20" t="str">
        <f t="shared" si="1"/>
        <v/>
      </c>
      <c r="N15" s="21" t="str">
        <f>IF(A15="","",IF(B15="","",wichFun(A15,M15)))</f>
        <v/>
      </c>
      <c r="P15" s="87" t="s">
        <v>49</v>
      </c>
      <c r="Q15" s="87"/>
      <c r="R15" s="87"/>
      <c r="S15" s="87"/>
      <c r="T15" s="88" t="str">
        <f>N5</f>
        <v>U784</v>
      </c>
      <c r="U15" s="88"/>
      <c r="V15" s="88"/>
      <c r="W15" s="88"/>
      <c r="X15" s="22" t="s">
        <v>50</v>
      </c>
      <c r="Y15" s="22"/>
      <c r="AA15" s="89">
        <f>N6</f>
        <v>305.37</v>
      </c>
      <c r="AB15" s="89"/>
      <c r="AC15" s="89"/>
      <c r="AD15" s="89"/>
      <c r="AE15" s="89"/>
      <c r="AF15" s="2"/>
      <c r="AG15" s="2"/>
      <c r="AH15"/>
      <c r="AI15" s="2"/>
    </row>
    <row r="16" spans="1:35" x14ac:dyDescent="0.25">
      <c r="A16" s="49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19" t="str">
        <f t="shared" si="0"/>
        <v/>
      </c>
      <c r="M16" s="20" t="str">
        <f t="shared" si="1"/>
        <v/>
      </c>
      <c r="N16" s="21" t="str">
        <f>IF(A16="","",IF(B16="","",wichFun(A16,M16)))</f>
        <v/>
      </c>
      <c r="P16" s="23" t="s">
        <v>26</v>
      </c>
      <c r="Q16" s="81" t="s">
        <v>27</v>
      </c>
      <c r="R16" s="81"/>
      <c r="S16" s="81"/>
      <c r="T16" s="81"/>
      <c r="U16" s="81"/>
      <c r="V16" s="81"/>
      <c r="W16" s="81"/>
      <c r="X16" s="81"/>
      <c r="Y16" s="81"/>
      <c r="Z16" s="81"/>
      <c r="AA16" s="23"/>
      <c r="AB16" s="2"/>
      <c r="AC16" s="28" t="s">
        <v>28</v>
      </c>
      <c r="AD16" s="28" t="s">
        <v>29</v>
      </c>
      <c r="AE16" s="28" t="s">
        <v>30</v>
      </c>
      <c r="AF16" s="2"/>
      <c r="AG16" s="2"/>
      <c r="AH16"/>
      <c r="AI16" s="2"/>
    </row>
    <row r="17" spans="1:40" x14ac:dyDescent="0.25">
      <c r="A17" s="37"/>
      <c r="B17" s="51"/>
      <c r="C17" s="51"/>
      <c r="D17" s="51"/>
      <c r="E17" s="48"/>
      <c r="F17" s="48"/>
      <c r="G17" s="48"/>
      <c r="H17" s="48"/>
      <c r="I17" s="48"/>
      <c r="J17" s="48"/>
      <c r="K17" s="48"/>
      <c r="L17" s="19" t="str">
        <f t="shared" si="0"/>
        <v/>
      </c>
      <c r="M17" s="20" t="str">
        <f t="shared" si="1"/>
        <v/>
      </c>
      <c r="N17" s="21" t="str">
        <f>IF(A17="","",IF(B17="","",wichFun(A17,M17)))</f>
        <v/>
      </c>
      <c r="P17" s="13">
        <v>1</v>
      </c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9" t="str">
        <f>IF(Q17="","",SUM(Q17:AB17))</f>
        <v/>
      </c>
      <c r="AD17" s="27"/>
      <c r="AE17" s="9"/>
      <c r="AF17" s="43" t="s">
        <v>58</v>
      </c>
      <c r="AG17" s="31"/>
      <c r="AH17"/>
    </row>
    <row r="18" spans="1:40" ht="15" customHeight="1" x14ac:dyDescent="0.25">
      <c r="A18" s="49"/>
      <c r="B18" s="48"/>
      <c r="C18" s="48"/>
      <c r="D18" s="48"/>
      <c r="E18" s="48"/>
      <c r="F18" s="48"/>
      <c r="G18" s="48"/>
      <c r="H18" s="48"/>
      <c r="I18" s="48"/>
      <c r="J18" s="33"/>
      <c r="K18" s="33"/>
      <c r="L18" s="19" t="str">
        <f t="shared" si="0"/>
        <v/>
      </c>
      <c r="M18" s="20" t="str">
        <f t="shared" si="1"/>
        <v/>
      </c>
      <c r="N18" s="21" t="str">
        <f>IF(A18="","",IF(B18="","",wichFun(A18,M18)))</f>
        <v/>
      </c>
      <c r="P18" s="13">
        <v>2</v>
      </c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9" t="str">
        <f t="shared" ref="AC18:AC28" si="2">IF(Q18="","",SUM(Q18:AB18))</f>
        <v/>
      </c>
      <c r="AD18" s="27"/>
      <c r="AE18" s="9"/>
      <c r="AF18" s="32" t="s">
        <v>57</v>
      </c>
      <c r="AG18"/>
      <c r="AH18"/>
      <c r="AI18" s="2"/>
    </row>
    <row r="19" spans="1:40" x14ac:dyDescent="0.25">
      <c r="A19" s="49"/>
      <c r="B19" s="48"/>
      <c r="C19" s="48"/>
      <c r="D19" s="48"/>
      <c r="E19" s="51"/>
      <c r="F19" s="48"/>
      <c r="G19" s="48"/>
      <c r="H19" s="48"/>
      <c r="I19" s="48"/>
      <c r="J19" s="33"/>
      <c r="K19" s="33"/>
      <c r="L19" s="19" t="str">
        <f t="shared" si="0"/>
        <v/>
      </c>
      <c r="M19" s="20" t="str">
        <f t="shared" ref="M19:M23" si="3">IF(L19="","",(L19/N$6)*100)</f>
        <v/>
      </c>
      <c r="N19" s="21" t="str">
        <f>IF(A19="","",IF(B19="","",wichFun(A19,M19)))</f>
        <v/>
      </c>
      <c r="P19" s="13">
        <v>3</v>
      </c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9" t="str">
        <f t="shared" si="2"/>
        <v/>
      </c>
      <c r="AD19" s="27"/>
      <c r="AE19" s="9"/>
      <c r="AF19" s="2"/>
      <c r="AG19" s="2"/>
      <c r="AH19"/>
      <c r="AI19" s="2"/>
    </row>
    <row r="20" spans="1:40" x14ac:dyDescent="0.25">
      <c r="A20" s="46"/>
      <c r="B20" s="47"/>
      <c r="C20" s="47"/>
      <c r="D20" s="47"/>
      <c r="E20" s="48"/>
      <c r="F20" s="48"/>
      <c r="G20" s="48"/>
      <c r="H20" s="48"/>
      <c r="I20" s="48"/>
      <c r="J20" s="33"/>
      <c r="K20" s="33"/>
      <c r="L20" s="19" t="str">
        <f t="shared" ref="L20:L23" si="4">IF(B20="","",SUM(B20:K20))</f>
        <v/>
      </c>
      <c r="M20" s="36" t="str">
        <f t="shared" si="3"/>
        <v/>
      </c>
      <c r="N20" s="21" t="str">
        <f>IF(A20="","",IF(B20="","",wichFun(A20,M20)))</f>
        <v/>
      </c>
      <c r="P20" s="13">
        <v>4</v>
      </c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9" t="str">
        <f t="shared" si="2"/>
        <v/>
      </c>
      <c r="AD20" s="27"/>
      <c r="AE20" s="9"/>
      <c r="AF20" s="2"/>
      <c r="AG20" s="2"/>
      <c r="AH20"/>
      <c r="AI20" s="2"/>
    </row>
    <row r="21" spans="1:40" x14ac:dyDescent="0.25">
      <c r="A21" s="46"/>
      <c r="B21" s="47"/>
      <c r="C21" s="47"/>
      <c r="D21" s="47"/>
      <c r="E21" s="48"/>
      <c r="F21" s="48"/>
      <c r="G21" s="48"/>
      <c r="H21" s="48"/>
      <c r="I21" s="48"/>
      <c r="J21" s="33"/>
      <c r="K21" s="33"/>
      <c r="L21" s="19" t="str">
        <f t="shared" si="4"/>
        <v/>
      </c>
      <c r="M21" s="36" t="str">
        <f t="shared" si="3"/>
        <v/>
      </c>
      <c r="N21" s="21" t="str">
        <f>IF(A21="","",IF(B21="","",wichFun(A21,M21)))</f>
        <v/>
      </c>
      <c r="P21" s="13">
        <v>5</v>
      </c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9" t="str">
        <f t="shared" si="2"/>
        <v/>
      </c>
      <c r="AD21" s="27"/>
      <c r="AE21" s="9"/>
      <c r="AF21" s="2"/>
      <c r="AG21" s="2"/>
      <c r="AH21"/>
      <c r="AI21" s="2"/>
    </row>
    <row r="22" spans="1:40" x14ac:dyDescent="0.25">
      <c r="A22" s="46"/>
      <c r="B22" s="47"/>
      <c r="C22" s="47"/>
      <c r="D22" s="47"/>
      <c r="E22" s="48"/>
      <c r="F22" s="48"/>
      <c r="G22" s="48"/>
      <c r="H22" s="48"/>
      <c r="I22" s="48"/>
      <c r="J22" s="33"/>
      <c r="K22" s="33"/>
      <c r="L22" s="48" t="str">
        <f t="shared" si="4"/>
        <v/>
      </c>
      <c r="M22" s="36" t="str">
        <f t="shared" si="3"/>
        <v/>
      </c>
      <c r="N22" s="21" t="str">
        <f>IF(A22="","",IF(B22="","",wichFun(A22,M22)))</f>
        <v/>
      </c>
      <c r="P22" s="13">
        <v>6</v>
      </c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9" t="str">
        <f t="shared" si="2"/>
        <v/>
      </c>
      <c r="AD22" s="27"/>
      <c r="AE22" s="9"/>
      <c r="AF22" s="2"/>
      <c r="AG22" s="2"/>
      <c r="AH22"/>
      <c r="AI22" s="2"/>
    </row>
    <row r="23" spans="1:40" x14ac:dyDescent="0.25">
      <c r="A23" s="37"/>
      <c r="B23" s="48"/>
      <c r="C23" s="46"/>
      <c r="D23" s="33"/>
      <c r="E23" s="47"/>
      <c r="F23" s="47"/>
      <c r="G23" s="47"/>
      <c r="H23" s="47"/>
      <c r="I23" s="47"/>
      <c r="J23" s="33"/>
      <c r="K23" s="33"/>
      <c r="L23" s="19" t="str">
        <f t="shared" si="4"/>
        <v/>
      </c>
      <c r="M23" s="36" t="str">
        <f t="shared" si="3"/>
        <v/>
      </c>
      <c r="N23" s="21" t="str">
        <f>IF(A23="","",IF(B23="","",wichFun(A23,M23)))</f>
        <v/>
      </c>
      <c r="P23" s="13">
        <v>7</v>
      </c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9" t="str">
        <f t="shared" si="2"/>
        <v/>
      </c>
      <c r="AD23" s="27"/>
      <c r="AE23" s="9"/>
      <c r="AF23" s="2"/>
      <c r="AG23" s="2"/>
      <c r="AH23"/>
      <c r="AI23" s="2"/>
    </row>
    <row r="24" spans="1:40" x14ac:dyDescent="0.25">
      <c r="A24" s="37"/>
      <c r="B24" s="48"/>
      <c r="C24" s="46"/>
      <c r="D24" s="33"/>
      <c r="E24" s="47"/>
      <c r="F24" s="47"/>
      <c r="G24" s="47"/>
      <c r="H24" s="47"/>
      <c r="I24" s="47"/>
      <c r="J24" s="33"/>
      <c r="K24" s="33"/>
      <c r="L24" s="19" t="str">
        <f t="shared" ref="L24:L35" si="5">IF(B24="","",SUM(B24:K24))</f>
        <v/>
      </c>
      <c r="M24" s="36" t="str">
        <f t="shared" ref="M24:M35" si="6">IF(L24="","",(L24/N$6)*100)</f>
        <v/>
      </c>
      <c r="N24" s="21" t="str">
        <f>IF(A24="","",IF(B24="","",wichFun(A24,M24)))</f>
        <v/>
      </c>
      <c r="P24" s="13">
        <v>8</v>
      </c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9" t="str">
        <f t="shared" si="2"/>
        <v/>
      </c>
      <c r="AD24" s="27"/>
      <c r="AE24" s="9"/>
      <c r="AF24" s="2"/>
      <c r="AG24" s="2"/>
      <c r="AH24"/>
      <c r="AI24" s="2"/>
    </row>
    <row r="25" spans="1:40" x14ac:dyDescent="0.25">
      <c r="A25" s="37"/>
      <c r="B25" s="35"/>
      <c r="C25" s="46"/>
      <c r="D25" s="33"/>
      <c r="E25" s="33"/>
      <c r="F25" s="33"/>
      <c r="G25" s="33"/>
      <c r="H25" s="33"/>
      <c r="I25" s="33"/>
      <c r="J25" s="33"/>
      <c r="K25" s="33"/>
      <c r="L25" s="19" t="str">
        <f t="shared" si="5"/>
        <v/>
      </c>
      <c r="M25" s="36" t="str">
        <f t="shared" si="6"/>
        <v/>
      </c>
      <c r="N25" s="21" t="str">
        <f>IF(A25="","",IF(B25="","",wichFun(A25,M25)))</f>
        <v/>
      </c>
      <c r="P25" s="13">
        <v>9</v>
      </c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9" t="str">
        <f t="shared" si="2"/>
        <v/>
      </c>
      <c r="AD25" s="27"/>
      <c r="AE25" s="9"/>
      <c r="AF25" s="2"/>
      <c r="AG25" s="2"/>
      <c r="AH25"/>
      <c r="AI25" s="2"/>
    </row>
    <row r="26" spans="1:40" x14ac:dyDescent="0.25">
      <c r="A26" s="37"/>
      <c r="B26" s="35"/>
      <c r="C26" s="33"/>
      <c r="D26" s="33"/>
      <c r="E26" s="33"/>
      <c r="F26" s="33"/>
      <c r="G26" s="33"/>
      <c r="H26" s="33"/>
      <c r="I26" s="33"/>
      <c r="J26" s="33"/>
      <c r="K26" s="33"/>
      <c r="L26" s="19" t="str">
        <f t="shared" si="5"/>
        <v/>
      </c>
      <c r="M26" s="36" t="str">
        <f t="shared" si="6"/>
        <v/>
      </c>
      <c r="N26" s="21" t="str">
        <f>IF(A26="","",IF(B26="","",wichFun(A26,M26)))</f>
        <v/>
      </c>
      <c r="P26" s="13">
        <v>10</v>
      </c>
      <c r="Q26" s="24"/>
      <c r="R26" s="24"/>
      <c r="S26" s="25"/>
      <c r="T26" s="25"/>
      <c r="U26" s="25"/>
      <c r="V26" s="25"/>
      <c r="W26" s="25"/>
      <c r="X26" s="25"/>
      <c r="Y26" s="25"/>
      <c r="Z26" s="25"/>
      <c r="AA26" s="25"/>
      <c r="AB26" s="8"/>
      <c r="AC26" s="9" t="str">
        <f t="shared" si="2"/>
        <v/>
      </c>
      <c r="AD26" s="8"/>
      <c r="AE26" s="9"/>
      <c r="AF26" s="2"/>
      <c r="AG26" s="2"/>
      <c r="AH26"/>
      <c r="AI26" s="2"/>
    </row>
    <row r="27" spans="1:40" x14ac:dyDescent="0.25">
      <c r="A27" s="37"/>
      <c r="B27" s="35"/>
      <c r="C27" s="33"/>
      <c r="D27" s="33"/>
      <c r="E27" s="33"/>
      <c r="F27" s="33"/>
      <c r="G27" s="33"/>
      <c r="H27" s="33"/>
      <c r="I27" s="33"/>
      <c r="J27" s="33"/>
      <c r="K27" s="33"/>
      <c r="L27" s="19" t="str">
        <f t="shared" si="5"/>
        <v/>
      </c>
      <c r="M27" s="36" t="str">
        <f t="shared" si="6"/>
        <v/>
      </c>
      <c r="N27" s="21" t="str">
        <f>IF(A27="","",IF(B27="","",wichFun(A27,M27)))</f>
        <v/>
      </c>
      <c r="P27" s="13">
        <v>11</v>
      </c>
      <c r="Q27" s="24"/>
      <c r="R27" s="24"/>
      <c r="S27" s="25"/>
      <c r="T27" s="25"/>
      <c r="U27" s="25"/>
      <c r="V27" s="25"/>
      <c r="W27" s="25"/>
      <c r="X27" s="25"/>
      <c r="Y27" s="25"/>
      <c r="Z27" s="25"/>
      <c r="AA27" s="25"/>
      <c r="AB27" s="8"/>
      <c r="AC27" s="9" t="str">
        <f t="shared" si="2"/>
        <v/>
      </c>
      <c r="AD27" s="8"/>
      <c r="AE27" s="9"/>
      <c r="AF27" s="2"/>
      <c r="AG27" s="2"/>
      <c r="AH27"/>
      <c r="AI27" s="2"/>
    </row>
    <row r="28" spans="1:40" x14ac:dyDescent="0.25">
      <c r="A28" s="37"/>
      <c r="B28" s="35"/>
      <c r="C28" s="33"/>
      <c r="D28" s="33"/>
      <c r="E28" s="33"/>
      <c r="F28" s="33"/>
      <c r="G28" s="33"/>
      <c r="H28" s="33"/>
      <c r="I28" s="33"/>
      <c r="J28" s="33"/>
      <c r="K28" s="33"/>
      <c r="L28" s="19" t="str">
        <f t="shared" si="5"/>
        <v/>
      </c>
      <c r="M28" s="36" t="str">
        <f t="shared" si="6"/>
        <v/>
      </c>
      <c r="N28" s="21" t="str">
        <f>IF(A28="","",IF(B28="","",wichFun(A28,M28)))</f>
        <v/>
      </c>
      <c r="P28" s="13">
        <v>12</v>
      </c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8"/>
      <c r="AC28" s="9" t="str">
        <f t="shared" si="2"/>
        <v/>
      </c>
      <c r="AD28" s="8"/>
      <c r="AE28" s="9"/>
      <c r="AF28" s="2"/>
      <c r="AG28" s="2"/>
      <c r="AH28"/>
      <c r="AI28" s="2"/>
      <c r="AJ28" s="6"/>
      <c r="AK28" s="44" t="str">
        <f>N5</f>
        <v>U784</v>
      </c>
      <c r="AL28" s="41">
        <f>AC29</f>
        <v>0</v>
      </c>
      <c r="AM28" s="41">
        <f>AC30</f>
        <v>0</v>
      </c>
      <c r="AN28" s="34">
        <f>AC31</f>
        <v>0</v>
      </c>
    </row>
    <row r="29" spans="1:40" x14ac:dyDescent="0.25">
      <c r="A29" s="37"/>
      <c r="B29" s="35"/>
      <c r="C29" s="33"/>
      <c r="D29" s="33"/>
      <c r="E29" s="33"/>
      <c r="F29" s="33"/>
      <c r="G29" s="33"/>
      <c r="H29" s="33"/>
      <c r="I29" s="33"/>
      <c r="J29" s="33"/>
      <c r="K29" s="33"/>
      <c r="L29" s="19" t="str">
        <f t="shared" si="5"/>
        <v/>
      </c>
      <c r="M29" s="36" t="str">
        <f t="shared" si="6"/>
        <v/>
      </c>
      <c r="N29" s="21" t="str">
        <f>IF(A29="","",IF(B29="","",wichFun(A29,M29)))</f>
        <v/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6" t="s">
        <v>31</v>
      </c>
      <c r="AC29" s="82"/>
      <c r="AD29" s="82"/>
      <c r="AE29" s="82"/>
      <c r="AF29" s="2"/>
      <c r="AG29" s="2"/>
      <c r="AH29"/>
      <c r="AI29" s="2"/>
    </row>
    <row r="30" spans="1:40" x14ac:dyDescent="0.25">
      <c r="A30" s="37"/>
      <c r="B30" s="35"/>
      <c r="C30" s="33"/>
      <c r="D30" s="33"/>
      <c r="E30" s="33"/>
      <c r="F30" s="33"/>
      <c r="G30" s="33"/>
      <c r="H30" s="33"/>
      <c r="I30" s="33"/>
      <c r="J30" s="33"/>
      <c r="K30" s="33"/>
      <c r="L30" s="19" t="str">
        <f t="shared" si="5"/>
        <v/>
      </c>
      <c r="M30" s="36" t="str">
        <f t="shared" si="6"/>
        <v/>
      </c>
      <c r="N30" s="21" t="str">
        <f>IF(A30="","",IF(B30="","",wichFun(A30,M30)))</f>
        <v/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14" t="s">
        <v>32</v>
      </c>
      <c r="AC30" s="82"/>
      <c r="AD30" s="82"/>
      <c r="AE30" s="82"/>
      <c r="AF30" s="2"/>
      <c r="AG30" s="2"/>
      <c r="AH30"/>
      <c r="AI30" s="2"/>
    </row>
    <row r="31" spans="1:40" x14ac:dyDescent="0.25">
      <c r="A31" s="37"/>
      <c r="B31" s="35"/>
      <c r="C31" s="33"/>
      <c r="D31" s="33"/>
      <c r="E31" s="33"/>
      <c r="F31" s="33"/>
      <c r="G31" s="33"/>
      <c r="H31" s="33"/>
      <c r="I31" s="33"/>
      <c r="J31" s="33"/>
      <c r="K31" s="33"/>
      <c r="L31" s="19" t="str">
        <f t="shared" si="5"/>
        <v/>
      </c>
      <c r="M31" s="36" t="str">
        <f t="shared" si="6"/>
        <v/>
      </c>
      <c r="N31" s="21" t="str">
        <f>IF(A31="","",IF(B31="","",wichFun(A31,M31)))</f>
        <v/>
      </c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14" t="s">
        <v>23</v>
      </c>
      <c r="AC31" s="83"/>
      <c r="AD31" s="83"/>
      <c r="AE31" s="83"/>
      <c r="AF31" s="2"/>
      <c r="AG31" s="2"/>
      <c r="AH31"/>
      <c r="AI31" s="2"/>
    </row>
    <row r="32" spans="1:40" x14ac:dyDescent="0.25">
      <c r="A32" s="37"/>
      <c r="B32" s="35"/>
      <c r="C32" s="33"/>
      <c r="D32" s="33"/>
      <c r="E32" s="33"/>
      <c r="F32" s="33"/>
      <c r="G32" s="33"/>
      <c r="H32" s="33"/>
      <c r="I32" s="33"/>
      <c r="J32" s="33"/>
      <c r="K32" s="33"/>
      <c r="L32" s="19" t="str">
        <f t="shared" si="5"/>
        <v/>
      </c>
      <c r="M32" s="36" t="str">
        <f t="shared" si="6"/>
        <v/>
      </c>
      <c r="N32" s="21" t="str">
        <f>IF(A32="","",IF(B32="","",wichFun(A32,M32)))</f>
        <v/>
      </c>
      <c r="R32" s="29"/>
      <c r="S32" s="29"/>
      <c r="AH32"/>
    </row>
    <row r="33" spans="1:35" x14ac:dyDescent="0.25">
      <c r="A33" s="37"/>
      <c r="B33" s="35"/>
      <c r="C33" s="33"/>
      <c r="D33" s="33"/>
      <c r="E33" s="33"/>
      <c r="F33" s="33"/>
      <c r="G33" s="33"/>
      <c r="H33" s="33"/>
      <c r="I33" s="33"/>
      <c r="J33" s="33"/>
      <c r="K33" s="33"/>
      <c r="L33" s="19" t="str">
        <f t="shared" si="5"/>
        <v/>
      </c>
      <c r="M33" s="36" t="str">
        <f t="shared" si="6"/>
        <v/>
      </c>
      <c r="N33" s="21" t="str">
        <f>IF(A33="","",IF(B33="","",wichFun(A33,M33)))</f>
        <v/>
      </c>
      <c r="AH33"/>
    </row>
    <row r="34" spans="1:35" x14ac:dyDescent="0.25">
      <c r="A34" s="37"/>
      <c r="B34" s="35"/>
      <c r="C34" s="33"/>
      <c r="D34" s="33"/>
      <c r="E34" s="33"/>
      <c r="F34" s="33"/>
      <c r="G34" s="33"/>
      <c r="H34" s="33"/>
      <c r="I34" s="33"/>
      <c r="J34" s="33"/>
      <c r="K34" s="33"/>
      <c r="L34" s="19" t="str">
        <f t="shared" si="5"/>
        <v/>
      </c>
      <c r="M34" s="36" t="str">
        <f t="shared" si="6"/>
        <v/>
      </c>
      <c r="N34" s="21" t="str">
        <f>IF(A34="","",IF(B34="","",wichFun(A34,M34)))</f>
        <v/>
      </c>
      <c r="AH34"/>
      <c r="AI34" s="7">
        <v>0</v>
      </c>
    </row>
    <row r="35" spans="1:35" x14ac:dyDescent="0.25">
      <c r="A35" s="37"/>
      <c r="B35" s="35"/>
      <c r="C35" s="33"/>
      <c r="D35" s="33"/>
      <c r="E35" s="33"/>
      <c r="F35" s="33"/>
      <c r="G35" s="33"/>
      <c r="H35" s="33"/>
      <c r="I35" s="33"/>
      <c r="J35" s="33"/>
      <c r="K35" s="33"/>
      <c r="L35" s="19" t="str">
        <f t="shared" si="5"/>
        <v/>
      </c>
      <c r="M35" s="36" t="str">
        <f t="shared" si="6"/>
        <v/>
      </c>
      <c r="N35" s="21" t="str">
        <f>IF(A35="","",IF(B35="","",wichFun(A35,M35)))</f>
        <v/>
      </c>
      <c r="AH35"/>
      <c r="AI35" s="7">
        <v>0</v>
      </c>
    </row>
    <row r="36" spans="1:35" x14ac:dyDescent="0.25">
      <c r="AI36" s="7">
        <v>0</v>
      </c>
    </row>
    <row r="37" spans="1:35" x14ac:dyDescent="0.25">
      <c r="AI37" s="7">
        <v>0</v>
      </c>
    </row>
    <row r="38" spans="1:35" x14ac:dyDescent="0.25">
      <c r="AI38" s="7">
        <v>0</v>
      </c>
    </row>
    <row r="39" spans="1:35" x14ac:dyDescent="0.25">
      <c r="AI39" s="7">
        <v>0</v>
      </c>
    </row>
    <row r="40" spans="1:35" x14ac:dyDescent="0.25">
      <c r="N40" s="29"/>
      <c r="AI40" s="7">
        <v>0</v>
      </c>
    </row>
    <row r="41" spans="1:35" x14ac:dyDescent="0.25">
      <c r="AI41" s="7">
        <v>0</v>
      </c>
    </row>
    <row r="42" spans="1:35" x14ac:dyDescent="0.25">
      <c r="AI42" s="7">
        <v>0</v>
      </c>
    </row>
    <row r="43" spans="1:35" x14ac:dyDescent="0.25">
      <c r="AI43" s="7">
        <v>0</v>
      </c>
    </row>
    <row r="44" spans="1:35" x14ac:dyDescent="0.25">
      <c r="AI44" s="7">
        <v>0</v>
      </c>
    </row>
    <row r="45" spans="1:35" x14ac:dyDescent="0.25">
      <c r="AI45" s="7">
        <v>0</v>
      </c>
    </row>
    <row r="46" spans="1:35" x14ac:dyDescent="0.25">
      <c r="AI46" s="7">
        <v>0</v>
      </c>
    </row>
    <row r="47" spans="1:35" x14ac:dyDescent="0.25">
      <c r="AI47" s="7">
        <v>0</v>
      </c>
    </row>
    <row r="48" spans="1:35" x14ac:dyDescent="0.25">
      <c r="AI48" s="7">
        <v>0</v>
      </c>
    </row>
    <row r="49" spans="16:35" x14ac:dyDescent="0.25">
      <c r="AI49" s="7">
        <v>0</v>
      </c>
    </row>
    <row r="50" spans="16:35" x14ac:dyDescent="0.25">
      <c r="AI50"/>
    </row>
    <row r="51" spans="16:35" x14ac:dyDescent="0.25">
      <c r="P51" s="30"/>
      <c r="AI51"/>
    </row>
    <row r="52" spans="16:35" x14ac:dyDescent="0.25">
      <c r="AI52"/>
    </row>
    <row r="53" spans="16:35" x14ac:dyDescent="0.25">
      <c r="AI53"/>
    </row>
    <row r="54" spans="16:35" x14ac:dyDescent="0.25">
      <c r="AI54"/>
    </row>
    <row r="55" spans="16:35" x14ac:dyDescent="0.25">
      <c r="AI55"/>
    </row>
    <row r="56" spans="16:35" x14ac:dyDescent="0.25">
      <c r="AI56"/>
    </row>
    <row r="57" spans="16:35" x14ac:dyDescent="0.25">
      <c r="AI57"/>
    </row>
    <row r="58" spans="16:35" x14ac:dyDescent="0.25">
      <c r="AI58"/>
    </row>
    <row r="59" spans="16:35" x14ac:dyDescent="0.25">
      <c r="AI59"/>
    </row>
    <row r="60" spans="16:35" x14ac:dyDescent="0.25">
      <c r="AI60"/>
    </row>
    <row r="61" spans="16:35" x14ac:dyDescent="0.25">
      <c r="AI61"/>
    </row>
  </sheetData>
  <sortState ref="AH13:AH18">
    <sortCondition descending="1" ref="AH13"/>
  </sortState>
  <mergeCells count="37">
    <mergeCell ref="Q16:Z16"/>
    <mergeCell ref="AC29:AE29"/>
    <mergeCell ref="AC30:AE30"/>
    <mergeCell ref="AC31:AE31"/>
    <mergeCell ref="A11:B11"/>
    <mergeCell ref="D11:G11"/>
    <mergeCell ref="H11:K11"/>
    <mergeCell ref="B12:K12"/>
    <mergeCell ref="P13:AE13"/>
    <mergeCell ref="P14:AE14"/>
    <mergeCell ref="P15:S15"/>
    <mergeCell ref="T15:W15"/>
    <mergeCell ref="AA15:AE15"/>
    <mergeCell ref="D10:G10"/>
    <mergeCell ref="H10:K10"/>
    <mergeCell ref="A7:B7"/>
    <mergeCell ref="D7:G7"/>
    <mergeCell ref="H7:K7"/>
    <mergeCell ref="A8:B8"/>
    <mergeCell ref="D8:G8"/>
    <mergeCell ref="H8:K8"/>
    <mergeCell ref="A9:B9"/>
    <mergeCell ref="D9:G9"/>
    <mergeCell ref="H9:K9"/>
    <mergeCell ref="L8:N8"/>
    <mergeCell ref="A5:C5"/>
    <mergeCell ref="L5:M5"/>
    <mergeCell ref="A6:C6"/>
    <mergeCell ref="J1:N3"/>
    <mergeCell ref="L7:N7"/>
    <mergeCell ref="A1:I1"/>
    <mergeCell ref="A2:I2"/>
    <mergeCell ref="A3:I3"/>
    <mergeCell ref="A4:C4"/>
    <mergeCell ref="D4:G4"/>
    <mergeCell ref="D5:G5"/>
    <mergeCell ref="D6:G6"/>
  </mergeCells>
  <pageMargins left="0.7" right="0.7" top="0.75" bottom="0.75" header="0.3" footer="0.3"/>
  <pageSetup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0" r:id="rId4" name="Remover">
          <controlPr defaultSize="0" autoLine="0" r:id="rId5">
            <anchor moveWithCells="1">
              <from>
                <xdr:col>14</xdr:col>
                <xdr:colOff>171450</xdr:colOff>
                <xdr:row>4</xdr:row>
                <xdr:rowOff>180975</xdr:rowOff>
              </from>
              <to>
                <xdr:col>18</xdr:col>
                <xdr:colOff>228600</xdr:colOff>
                <xdr:row>6</xdr:row>
                <xdr:rowOff>95250</xdr:rowOff>
              </to>
            </anchor>
          </controlPr>
        </control>
      </mc:Choice>
      <mc:Fallback>
        <control shapeId="9220" r:id="rId4" name="Remover"/>
      </mc:Fallback>
    </mc:AlternateContent>
    <mc:AlternateContent xmlns:mc="http://schemas.openxmlformats.org/markup-compatibility/2006">
      <mc:Choice Requires="x14">
        <control shapeId="9219" r:id="rId6" name="Calcular">
          <controlPr defaultSize="0" autoLine="0" autoPict="0" r:id="rId7">
            <anchor moveWithCells="1">
              <from>
                <xdr:col>14</xdr:col>
                <xdr:colOff>171450</xdr:colOff>
                <xdr:row>0</xdr:row>
                <xdr:rowOff>180975</xdr:rowOff>
              </from>
              <to>
                <xdr:col>18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9219" r:id="rId6" name="Calcular"/>
      </mc:Fallback>
    </mc:AlternateContent>
    <mc:AlternateContent xmlns:mc="http://schemas.openxmlformats.org/markup-compatibility/2006">
      <mc:Choice Requires="x14">
        <control shapeId="9221" r:id="rId8" name="Registrar">
          <controlPr defaultSize="0" autoLine="0" autoPict="0" r:id="rId9">
            <anchor moveWithCells="1">
              <from>
                <xdr:col>14</xdr:col>
                <xdr:colOff>171450</xdr:colOff>
                <xdr:row>2</xdr:row>
                <xdr:rowOff>161925</xdr:rowOff>
              </from>
              <to>
                <xdr:col>18</xdr:col>
                <xdr:colOff>219075</xdr:colOff>
                <xdr:row>4</xdr:row>
                <xdr:rowOff>85725</xdr:rowOff>
              </to>
            </anchor>
          </controlPr>
        </control>
      </mc:Choice>
      <mc:Fallback>
        <control shapeId="9221" r:id="rId8" name="Registrar"/>
      </mc:Fallback>
    </mc:AlternateContent>
    <mc:AlternateContent xmlns:mc="http://schemas.openxmlformats.org/markup-compatibility/2006">
      <mc:Choice Requires="x14">
        <control shapeId="9222" r:id="rId10" name="Reiniciar">
          <controlPr defaultSize="0" autoLine="0" r:id="rId11">
            <anchor moveWithCells="1">
              <from>
                <xdr:col>23</xdr:col>
                <xdr:colOff>28575</xdr:colOff>
                <xdr:row>5</xdr:row>
                <xdr:rowOff>123825</xdr:rowOff>
              </from>
              <to>
                <xdr:col>27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9222" r:id="rId10" name="Re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256"/>
  <sheetViews>
    <sheetView topLeftCell="A9" workbookViewId="0">
      <selection activeCell="AC238" sqref="AC238:AC249"/>
    </sheetView>
  </sheetViews>
  <sheetFormatPr baseColWidth="10" defaultRowHeight="15" x14ac:dyDescent="0.25"/>
  <cols>
    <col min="1" max="1" width="8.140625" customWidth="1"/>
    <col min="2" max="2" width="8.42578125" customWidth="1"/>
    <col min="3" max="3" width="9.140625" customWidth="1"/>
    <col min="4" max="4" width="9" customWidth="1"/>
    <col min="5" max="5" width="8.7109375" customWidth="1"/>
    <col min="6" max="6" width="7" customWidth="1"/>
    <col min="7" max="7" width="7.42578125" customWidth="1"/>
    <col min="8" max="8" width="9.85546875" customWidth="1"/>
    <col min="9" max="9" width="7.42578125" customWidth="1"/>
    <col min="10" max="10" width="10.42578125" customWidth="1"/>
    <col min="11" max="11" width="5.42578125" customWidth="1"/>
    <col min="12" max="12" width="8.7109375" customWidth="1"/>
    <col min="13" max="13" width="11.85546875" customWidth="1"/>
    <col min="14" max="14" width="13.28515625" bestFit="1" customWidth="1"/>
    <col min="15" max="16" width="3.7109375" customWidth="1"/>
    <col min="17" max="17" width="5.5703125" customWidth="1"/>
    <col min="18" max="18" width="4.85546875" customWidth="1"/>
    <col min="19" max="19" width="5" customWidth="1"/>
    <col min="20" max="20" width="4.5703125" customWidth="1"/>
    <col min="21" max="21" width="4.85546875" customWidth="1"/>
    <col min="22" max="22" width="5" customWidth="1"/>
    <col min="23" max="23" width="4.5703125" customWidth="1"/>
    <col min="24" max="24" width="4.42578125" customWidth="1"/>
    <col min="25" max="25" width="4.28515625" customWidth="1"/>
    <col min="26" max="26" width="4.140625" customWidth="1"/>
    <col min="27" max="27" width="4.28515625" customWidth="1"/>
    <col min="28" max="28" width="3.85546875" customWidth="1"/>
    <col min="29" max="29" width="6" customWidth="1"/>
    <col min="30" max="30" width="3" customWidth="1"/>
    <col min="31" max="31" width="5.5703125" customWidth="1"/>
    <col min="32" max="32" width="3" customWidth="1"/>
    <col min="33" max="33" width="5.5703125" customWidth="1"/>
  </cols>
  <sheetData>
    <row r="1" spans="1:31" ht="15.75" thickBot="1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67" t="s">
        <v>1</v>
      </c>
      <c r="K1" s="67"/>
      <c r="L1" s="67"/>
      <c r="M1" s="67"/>
      <c r="N1" s="67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45"/>
      <c r="AD1" s="45"/>
      <c r="AE1" s="45"/>
    </row>
    <row r="2" spans="1:31" ht="15.75" thickBot="1" x14ac:dyDescent="0.3">
      <c r="A2" s="71" t="s">
        <v>2</v>
      </c>
      <c r="B2" s="71"/>
      <c r="C2" s="71"/>
      <c r="D2" s="71"/>
      <c r="E2" s="71"/>
      <c r="F2" s="71"/>
      <c r="G2" s="71"/>
      <c r="H2" s="71"/>
      <c r="I2" s="71"/>
      <c r="J2" s="67"/>
      <c r="K2" s="67"/>
      <c r="L2" s="67"/>
      <c r="M2" s="67"/>
      <c r="N2" s="67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45"/>
      <c r="AD2" s="45"/>
      <c r="AE2" s="45"/>
    </row>
    <row r="3" spans="1:31" ht="15.75" thickBot="1" x14ac:dyDescent="0.3">
      <c r="A3" s="72" t="s">
        <v>3</v>
      </c>
      <c r="B3" s="72"/>
      <c r="C3" s="72"/>
      <c r="D3" s="72"/>
      <c r="E3" s="72"/>
      <c r="F3" s="72"/>
      <c r="G3" s="72"/>
      <c r="H3" s="73"/>
      <c r="I3" s="72"/>
      <c r="J3" s="68"/>
      <c r="K3" s="68"/>
      <c r="L3" s="68"/>
      <c r="M3" s="68"/>
      <c r="N3" s="68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45"/>
      <c r="AD3" s="45"/>
      <c r="AE3" s="45"/>
    </row>
    <row r="4" spans="1:31" x14ac:dyDescent="0.25">
      <c r="A4" s="74" t="s">
        <v>22</v>
      </c>
      <c r="B4" s="74"/>
      <c r="C4" s="74"/>
      <c r="D4" s="75" t="s">
        <v>837</v>
      </c>
      <c r="E4" s="75"/>
      <c r="F4" s="75"/>
      <c r="G4" s="76"/>
      <c r="H4" s="40" t="s">
        <v>35</v>
      </c>
      <c r="I4" s="12">
        <v>1</v>
      </c>
      <c r="J4" s="61" t="s">
        <v>33</v>
      </c>
      <c r="K4" s="56">
        <v>7.4</v>
      </c>
      <c r="L4" s="5"/>
      <c r="M4" s="61" t="s">
        <v>36</v>
      </c>
      <c r="N4" s="15">
        <v>43415</v>
      </c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45"/>
      <c r="AD4" s="45"/>
      <c r="AE4" s="45"/>
    </row>
    <row r="5" spans="1:31" x14ac:dyDescent="0.25">
      <c r="A5" s="65" t="s">
        <v>37</v>
      </c>
      <c r="B5" s="65"/>
      <c r="C5" s="65"/>
      <c r="D5" s="77" t="s">
        <v>838</v>
      </c>
      <c r="E5" s="77"/>
      <c r="F5" s="77"/>
      <c r="G5" s="78"/>
      <c r="H5" s="40" t="s">
        <v>38</v>
      </c>
      <c r="I5" s="12">
        <v>1</v>
      </c>
      <c r="J5" s="61" t="s">
        <v>39</v>
      </c>
      <c r="K5" s="58">
        <v>30.4</v>
      </c>
      <c r="L5" s="65" t="s">
        <v>40</v>
      </c>
      <c r="M5" s="65"/>
      <c r="N5" s="55" t="s">
        <v>840</v>
      </c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45"/>
      <c r="AD5" s="45"/>
      <c r="AE5" s="45"/>
    </row>
    <row r="6" spans="1:31" ht="15.75" thickBot="1" x14ac:dyDescent="0.3">
      <c r="A6" s="66" t="s">
        <v>41</v>
      </c>
      <c r="B6" s="66"/>
      <c r="C6" s="66"/>
      <c r="D6" s="79" t="s">
        <v>839</v>
      </c>
      <c r="E6" s="79"/>
      <c r="F6" s="79"/>
      <c r="G6" s="80"/>
      <c r="H6" s="33"/>
      <c r="I6" s="45"/>
      <c r="J6" s="1"/>
      <c r="K6" s="45"/>
      <c r="L6" s="4"/>
      <c r="M6" s="16" t="s">
        <v>42</v>
      </c>
      <c r="N6" s="57">
        <v>224.96</v>
      </c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45"/>
      <c r="AD6" s="45"/>
      <c r="AE6" s="45"/>
    </row>
    <row r="7" spans="1:31" x14ac:dyDescent="0.25">
      <c r="A7" s="64" t="s">
        <v>4</v>
      </c>
      <c r="B7" s="64"/>
      <c r="C7" s="59"/>
      <c r="D7" s="64" t="s">
        <v>833</v>
      </c>
      <c r="E7" s="69"/>
      <c r="F7" s="69"/>
      <c r="G7" s="69"/>
      <c r="H7" s="64" t="s">
        <v>5</v>
      </c>
      <c r="I7" s="69"/>
      <c r="J7" s="64"/>
      <c r="K7" s="69"/>
      <c r="L7" s="69" t="s">
        <v>43</v>
      </c>
      <c r="M7" s="69"/>
      <c r="N7" s="69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45"/>
      <c r="AD7" s="45"/>
      <c r="AE7" s="45"/>
    </row>
    <row r="8" spans="1:31" x14ac:dyDescent="0.25">
      <c r="A8" s="64" t="s">
        <v>6</v>
      </c>
      <c r="B8" s="64"/>
      <c r="C8" s="59"/>
      <c r="D8" s="64" t="s">
        <v>7</v>
      </c>
      <c r="E8" s="64"/>
      <c r="F8" s="64"/>
      <c r="G8" s="64"/>
      <c r="H8" s="64" t="s">
        <v>8</v>
      </c>
      <c r="I8" s="64"/>
      <c r="J8" s="64"/>
      <c r="K8" s="64"/>
      <c r="L8" s="64" t="s">
        <v>44</v>
      </c>
      <c r="M8" s="64"/>
      <c r="N8" s="64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45"/>
      <c r="AD8" s="45"/>
      <c r="AE8" s="45"/>
    </row>
    <row r="9" spans="1:31" x14ac:dyDescent="0.25">
      <c r="A9" s="64" t="s">
        <v>9</v>
      </c>
      <c r="B9" s="64"/>
      <c r="C9" s="59"/>
      <c r="D9" s="64" t="s">
        <v>10</v>
      </c>
      <c r="E9" s="64"/>
      <c r="F9" s="64"/>
      <c r="G9" s="64"/>
      <c r="H9" s="64" t="s">
        <v>11</v>
      </c>
      <c r="I9" s="64"/>
      <c r="J9" s="64"/>
      <c r="K9" s="64"/>
      <c r="L9" s="59" t="s">
        <v>45</v>
      </c>
      <c r="M9" s="59"/>
      <c r="N9" s="59"/>
      <c r="O9" s="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</row>
    <row r="10" spans="1:31" x14ac:dyDescent="0.25">
      <c r="A10" s="3" t="s">
        <v>12</v>
      </c>
      <c r="B10" s="3"/>
      <c r="C10" s="59"/>
      <c r="D10" s="64" t="s">
        <v>13</v>
      </c>
      <c r="E10" s="64"/>
      <c r="F10" s="64"/>
      <c r="G10" s="64"/>
      <c r="H10" s="64" t="s">
        <v>46</v>
      </c>
      <c r="I10" s="64"/>
      <c r="J10" s="64"/>
      <c r="K10" s="64"/>
      <c r="L10" s="59" t="s">
        <v>47</v>
      </c>
      <c r="M10" s="59"/>
      <c r="N10" s="59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</row>
    <row r="11" spans="1:31" x14ac:dyDescent="0.25">
      <c r="A11" s="64" t="s">
        <v>15</v>
      </c>
      <c r="B11" s="64"/>
      <c r="C11" s="59"/>
      <c r="D11" s="64" t="s">
        <v>16</v>
      </c>
      <c r="E11" s="64"/>
      <c r="F11" s="64"/>
      <c r="G11" s="64"/>
      <c r="H11" s="64" t="s">
        <v>48</v>
      </c>
      <c r="I11" s="64"/>
      <c r="J11" s="64"/>
      <c r="K11" s="64"/>
      <c r="L11" s="59" t="s">
        <v>14</v>
      </c>
      <c r="M11" s="59"/>
      <c r="N11" s="59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</row>
    <row r="12" spans="1:31" ht="25.5" x14ac:dyDescent="0.25">
      <c r="A12" s="60" t="s">
        <v>17</v>
      </c>
      <c r="B12" s="84" t="s">
        <v>18</v>
      </c>
      <c r="C12" s="84"/>
      <c r="D12" s="84"/>
      <c r="E12" s="84"/>
      <c r="F12" s="84"/>
      <c r="G12" s="84"/>
      <c r="H12" s="84"/>
      <c r="I12" s="84"/>
      <c r="J12" s="84"/>
      <c r="K12" s="84"/>
      <c r="L12" s="60" t="s">
        <v>19</v>
      </c>
      <c r="M12" s="60" t="s">
        <v>20</v>
      </c>
      <c r="N12" s="18" t="s">
        <v>21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</row>
    <row r="13" spans="1:31" ht="15.75" thickBot="1" x14ac:dyDescent="0.3">
      <c r="A13" s="49" t="s">
        <v>841</v>
      </c>
      <c r="B13" s="48">
        <f>0.9*30.4</f>
        <v>27.36</v>
      </c>
      <c r="C13" s="48">
        <f>0.9*30.4</f>
        <v>27.36</v>
      </c>
      <c r="D13" s="48">
        <f>1.5*30.4</f>
        <v>45.599999999999994</v>
      </c>
      <c r="E13" s="48"/>
      <c r="F13" s="48"/>
      <c r="G13" s="48"/>
      <c r="H13" s="48"/>
      <c r="I13" s="48"/>
      <c r="J13" s="48"/>
      <c r="K13" s="48"/>
      <c r="L13" s="48">
        <f t="shared" ref="L13:L19" si="0">IF(B13="","",SUM(B13:K13))</f>
        <v>100.32</v>
      </c>
      <c r="M13" s="36">
        <v>44.594594594594589</v>
      </c>
      <c r="N13" s="21">
        <v>66.599999999999994</v>
      </c>
      <c r="O13" s="45"/>
      <c r="P13" s="85" t="s">
        <v>24</v>
      </c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</row>
    <row r="14" spans="1:31" ht="15.75" thickBot="1" x14ac:dyDescent="0.3">
      <c r="A14" s="49" t="s">
        <v>842</v>
      </c>
      <c r="B14" s="48">
        <f>3.1*0.7</f>
        <v>2.17</v>
      </c>
      <c r="C14" s="48">
        <f>1.5*1.5</f>
        <v>2.25</v>
      </c>
      <c r="D14" s="48">
        <f>1.4*9</f>
        <v>12.6</v>
      </c>
      <c r="E14" s="48">
        <f>3.2*1</f>
        <v>3.2</v>
      </c>
      <c r="F14" s="48"/>
      <c r="G14" s="48"/>
      <c r="H14" s="48"/>
      <c r="I14" s="48"/>
      <c r="J14" s="48"/>
      <c r="K14" s="48"/>
      <c r="L14" s="48">
        <f t="shared" si="0"/>
        <v>20.22</v>
      </c>
      <c r="M14" s="36">
        <v>8.988264580369842</v>
      </c>
      <c r="N14" s="21">
        <v>15.1</v>
      </c>
      <c r="O14" s="45"/>
      <c r="P14" s="86" t="s">
        <v>25</v>
      </c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</row>
    <row r="15" spans="1:31" ht="15.75" thickBot="1" x14ac:dyDescent="0.3">
      <c r="A15" s="49" t="s">
        <v>843</v>
      </c>
      <c r="B15" s="48">
        <v>1</v>
      </c>
      <c r="C15" s="48"/>
      <c r="D15" s="48"/>
      <c r="E15" s="48"/>
      <c r="F15" s="48"/>
      <c r="G15" s="48"/>
      <c r="H15" s="48"/>
      <c r="I15" s="48"/>
      <c r="J15" s="48"/>
      <c r="K15" s="48"/>
      <c r="L15" s="48">
        <f t="shared" si="0"/>
        <v>1</v>
      </c>
      <c r="M15" s="36">
        <v>0.44452347083926025</v>
      </c>
      <c r="N15" s="21">
        <v>40.700000000000003</v>
      </c>
      <c r="O15" s="45"/>
      <c r="P15" s="87" t="s">
        <v>49</v>
      </c>
      <c r="Q15" s="87"/>
      <c r="R15" s="87"/>
      <c r="S15" s="87"/>
      <c r="T15" s="88" t="s">
        <v>840</v>
      </c>
      <c r="U15" s="88"/>
      <c r="V15" s="88"/>
      <c r="W15" s="88"/>
      <c r="X15" s="22" t="s">
        <v>50</v>
      </c>
      <c r="Y15" s="22"/>
      <c r="Z15" s="45"/>
      <c r="AA15" s="89">
        <v>224.96</v>
      </c>
      <c r="AB15" s="89"/>
      <c r="AC15" s="89"/>
      <c r="AD15" s="89"/>
      <c r="AE15" s="89"/>
    </row>
    <row r="16" spans="1:31" x14ac:dyDescent="0.25">
      <c r="A16" s="49" t="s">
        <v>844</v>
      </c>
      <c r="B16" s="48">
        <v>1</v>
      </c>
      <c r="C16" s="48"/>
      <c r="D16" s="48"/>
      <c r="E16" s="48"/>
      <c r="F16" s="48"/>
      <c r="G16" s="48"/>
      <c r="H16" s="48"/>
      <c r="I16" s="48"/>
      <c r="J16" s="48"/>
      <c r="K16" s="48"/>
      <c r="L16" s="48">
        <f t="shared" si="0"/>
        <v>1</v>
      </c>
      <c r="M16" s="36">
        <v>0.44452347083926025</v>
      </c>
      <c r="N16" s="21">
        <v>13.7</v>
      </c>
      <c r="O16" s="45"/>
      <c r="P16" s="23" t="s">
        <v>26</v>
      </c>
      <c r="Q16" s="81" t="s">
        <v>27</v>
      </c>
      <c r="R16" s="81"/>
      <c r="S16" s="81"/>
      <c r="T16" s="81"/>
      <c r="U16" s="81"/>
      <c r="V16" s="81"/>
      <c r="W16" s="81"/>
      <c r="X16" s="81"/>
      <c r="Y16" s="81"/>
      <c r="Z16" s="81"/>
      <c r="AA16" s="23"/>
      <c r="AB16" s="2"/>
      <c r="AC16" s="28" t="s">
        <v>28</v>
      </c>
      <c r="AD16" s="28" t="s">
        <v>29</v>
      </c>
      <c r="AE16" s="28" t="s">
        <v>30</v>
      </c>
    </row>
    <row r="17" spans="1:31" x14ac:dyDescent="0.25">
      <c r="A17" s="37" t="s">
        <v>845</v>
      </c>
      <c r="B17" s="51">
        <v>224.96</v>
      </c>
      <c r="C17" s="51"/>
      <c r="D17" s="51"/>
      <c r="E17" s="48"/>
      <c r="F17" s="48"/>
      <c r="G17" s="48"/>
      <c r="H17" s="48"/>
      <c r="I17" s="48"/>
      <c r="J17" s="48"/>
      <c r="K17" s="48"/>
      <c r="L17" s="48">
        <f t="shared" si="0"/>
        <v>224.96</v>
      </c>
      <c r="M17" s="36">
        <v>100</v>
      </c>
      <c r="N17" s="21">
        <v>43.1</v>
      </c>
      <c r="O17" s="45"/>
      <c r="P17" s="46">
        <v>1</v>
      </c>
      <c r="Q17" s="24">
        <v>66.599999999999994</v>
      </c>
      <c r="R17" s="24">
        <v>43.1</v>
      </c>
      <c r="S17" s="24">
        <v>40.700000000000003</v>
      </c>
      <c r="T17" s="24">
        <v>15.1</v>
      </c>
      <c r="U17" s="24">
        <v>1.369999999999995</v>
      </c>
      <c r="V17" s="24"/>
      <c r="W17" s="24"/>
      <c r="X17" s="24"/>
      <c r="Y17" s="24"/>
      <c r="Z17" s="24"/>
      <c r="AA17" s="24"/>
      <c r="AB17" s="24"/>
      <c r="AC17" s="9">
        <v>166.86999999999998</v>
      </c>
      <c r="AD17" s="27">
        <v>4</v>
      </c>
      <c r="AE17" s="9">
        <v>88.8</v>
      </c>
    </row>
    <row r="18" spans="1:31" x14ac:dyDescent="0.25">
      <c r="A18" s="49"/>
      <c r="B18" s="48"/>
      <c r="C18" s="48"/>
      <c r="D18" s="48"/>
      <c r="E18" s="48"/>
      <c r="F18" s="48"/>
      <c r="G18" s="48"/>
      <c r="H18" s="48"/>
      <c r="I18" s="48"/>
      <c r="J18" s="33"/>
      <c r="K18" s="33"/>
      <c r="L18" s="48" t="str">
        <f t="shared" si="0"/>
        <v/>
      </c>
      <c r="M18" s="36" t="s">
        <v>846</v>
      </c>
      <c r="N18" s="21" t="s">
        <v>846</v>
      </c>
      <c r="O18" s="45"/>
      <c r="P18" s="46">
        <v>2</v>
      </c>
      <c r="Q18" s="24">
        <v>66.599999999999994</v>
      </c>
      <c r="R18" s="24">
        <v>43.1</v>
      </c>
      <c r="S18" s="24">
        <v>40.700000000000003</v>
      </c>
      <c r="T18" s="24">
        <v>2</v>
      </c>
      <c r="U18" s="24">
        <v>1.369999999999995</v>
      </c>
      <c r="V18" s="24"/>
      <c r="W18" s="24"/>
      <c r="X18" s="24"/>
      <c r="Y18" s="24"/>
      <c r="Z18" s="24"/>
      <c r="AA18" s="24"/>
      <c r="AB18" s="24"/>
      <c r="AC18" s="9">
        <v>153.76999999999998</v>
      </c>
      <c r="AD18" s="27">
        <v>3</v>
      </c>
      <c r="AE18" s="9">
        <v>89.7</v>
      </c>
    </row>
    <row r="19" spans="1:31" x14ac:dyDescent="0.25">
      <c r="A19" s="49"/>
      <c r="B19" s="48"/>
      <c r="C19" s="48"/>
      <c r="D19" s="48"/>
      <c r="E19" s="51"/>
      <c r="F19" s="48"/>
      <c r="G19" s="48"/>
      <c r="H19" s="48"/>
      <c r="I19" s="48"/>
      <c r="J19" s="33"/>
      <c r="K19" s="33"/>
      <c r="L19" s="48" t="str">
        <f t="shared" si="0"/>
        <v/>
      </c>
      <c r="M19" s="36" t="s">
        <v>846</v>
      </c>
      <c r="N19" s="21" t="s">
        <v>846</v>
      </c>
      <c r="O19" s="45"/>
      <c r="P19" s="46">
        <v>3</v>
      </c>
      <c r="Q19" s="24">
        <v>66.599999999999994</v>
      </c>
      <c r="R19" s="24">
        <v>43.1</v>
      </c>
      <c r="S19" s="24">
        <v>2</v>
      </c>
      <c r="T19" s="24">
        <v>2</v>
      </c>
      <c r="U19" s="24">
        <v>1.369999999999995</v>
      </c>
      <c r="V19" s="24"/>
      <c r="W19" s="24"/>
      <c r="X19" s="24"/>
      <c r="Y19" s="24"/>
      <c r="Z19" s="24"/>
      <c r="AA19" s="24"/>
      <c r="AB19" s="24"/>
      <c r="AC19" s="9">
        <v>115.06999999999998</v>
      </c>
      <c r="AD19" s="27">
        <v>2</v>
      </c>
      <c r="AE19" s="9">
        <v>77</v>
      </c>
    </row>
    <row r="20" spans="1:31" x14ac:dyDescent="0.25">
      <c r="A20" s="46"/>
      <c r="B20" s="47"/>
      <c r="C20" s="47"/>
      <c r="D20" s="47"/>
      <c r="E20" s="48"/>
      <c r="F20" s="48"/>
      <c r="G20" s="48"/>
      <c r="H20" s="48"/>
      <c r="I20" s="48"/>
      <c r="J20" s="33"/>
      <c r="K20" s="33"/>
      <c r="L20" s="48" t="str">
        <f t="shared" ref="L20:L35" si="1">IF(B20="","",SUM(B20:K20))</f>
        <v/>
      </c>
      <c r="M20" s="36" t="s">
        <v>846</v>
      </c>
      <c r="N20" s="21" t="s">
        <v>846</v>
      </c>
      <c r="O20" s="45"/>
      <c r="P20" s="46">
        <v>4</v>
      </c>
      <c r="Q20" s="24">
        <v>66.599999999999994</v>
      </c>
      <c r="R20" s="24">
        <v>2</v>
      </c>
      <c r="S20" s="24">
        <v>2</v>
      </c>
      <c r="T20" s="24">
        <v>2</v>
      </c>
      <c r="U20" s="24">
        <v>1.369999999999995</v>
      </c>
      <c r="V20" s="24"/>
      <c r="W20" s="24"/>
      <c r="X20" s="24"/>
      <c r="Y20" s="24"/>
      <c r="Z20" s="24"/>
      <c r="AA20" s="24"/>
      <c r="AB20" s="24"/>
      <c r="AC20" s="9">
        <v>73.969999999999985</v>
      </c>
      <c r="AD20" s="27">
        <v>1</v>
      </c>
      <c r="AE20" s="9">
        <v>74</v>
      </c>
    </row>
    <row r="21" spans="1:31" x14ac:dyDescent="0.25">
      <c r="A21" s="46"/>
      <c r="B21" s="47"/>
      <c r="C21" s="47"/>
      <c r="D21" s="47"/>
      <c r="E21" s="48"/>
      <c r="F21" s="48"/>
      <c r="G21" s="48"/>
      <c r="H21" s="48"/>
      <c r="I21" s="48"/>
      <c r="J21" s="33"/>
      <c r="K21" s="33"/>
      <c r="L21" s="48" t="str">
        <f t="shared" si="1"/>
        <v/>
      </c>
      <c r="M21" s="36" t="s">
        <v>846</v>
      </c>
      <c r="N21" s="21" t="s">
        <v>846</v>
      </c>
      <c r="O21" s="45"/>
      <c r="P21" s="46">
        <v>5</v>
      </c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9" t="s">
        <v>846</v>
      </c>
      <c r="AD21" s="27"/>
      <c r="AE21" s="9"/>
    </row>
    <row r="22" spans="1:31" x14ac:dyDescent="0.25">
      <c r="A22" s="46"/>
      <c r="B22" s="47"/>
      <c r="C22" s="47"/>
      <c r="D22" s="47"/>
      <c r="E22" s="48"/>
      <c r="F22" s="48"/>
      <c r="G22" s="48"/>
      <c r="H22" s="48"/>
      <c r="I22" s="48"/>
      <c r="J22" s="33"/>
      <c r="K22" s="33"/>
      <c r="L22" s="48" t="str">
        <f t="shared" si="1"/>
        <v/>
      </c>
      <c r="M22" s="36" t="s">
        <v>846</v>
      </c>
      <c r="N22" s="21" t="s">
        <v>846</v>
      </c>
      <c r="O22" s="45"/>
      <c r="P22" s="46">
        <v>6</v>
      </c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9" t="s">
        <v>846</v>
      </c>
      <c r="AD22" s="27"/>
      <c r="AE22" s="9"/>
    </row>
    <row r="23" spans="1:31" x14ac:dyDescent="0.25">
      <c r="A23" s="37"/>
      <c r="B23" s="48"/>
      <c r="C23" s="46"/>
      <c r="D23" s="33"/>
      <c r="E23" s="47"/>
      <c r="F23" s="47"/>
      <c r="G23" s="47"/>
      <c r="H23" s="47"/>
      <c r="I23" s="47"/>
      <c r="J23" s="33"/>
      <c r="K23" s="33"/>
      <c r="L23" s="48" t="str">
        <f t="shared" si="1"/>
        <v/>
      </c>
      <c r="M23" s="36" t="s">
        <v>846</v>
      </c>
      <c r="N23" s="21" t="s">
        <v>846</v>
      </c>
      <c r="O23" s="45"/>
      <c r="P23" s="46">
        <v>7</v>
      </c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9" t="s">
        <v>846</v>
      </c>
      <c r="AD23" s="27"/>
      <c r="AE23" s="9"/>
    </row>
    <row r="24" spans="1:31" x14ac:dyDescent="0.25">
      <c r="A24" s="37"/>
      <c r="B24" s="48"/>
      <c r="C24" s="46"/>
      <c r="D24" s="33"/>
      <c r="E24" s="47"/>
      <c r="F24" s="47"/>
      <c r="G24" s="47"/>
      <c r="H24" s="47"/>
      <c r="I24" s="47"/>
      <c r="J24" s="33"/>
      <c r="K24" s="33"/>
      <c r="L24" s="48" t="str">
        <f t="shared" si="1"/>
        <v/>
      </c>
      <c r="M24" s="36" t="s">
        <v>846</v>
      </c>
      <c r="N24" s="21" t="s">
        <v>846</v>
      </c>
      <c r="O24" s="45"/>
      <c r="P24" s="46">
        <v>8</v>
      </c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9" t="s">
        <v>846</v>
      </c>
      <c r="AD24" s="27"/>
      <c r="AE24" s="9"/>
    </row>
    <row r="25" spans="1:31" x14ac:dyDescent="0.25">
      <c r="A25" s="37"/>
      <c r="B25" s="48"/>
      <c r="C25" s="46"/>
      <c r="D25" s="33"/>
      <c r="E25" s="33"/>
      <c r="F25" s="33"/>
      <c r="G25" s="33"/>
      <c r="H25" s="33"/>
      <c r="I25" s="33"/>
      <c r="J25" s="33"/>
      <c r="K25" s="33"/>
      <c r="L25" s="48" t="str">
        <f t="shared" si="1"/>
        <v/>
      </c>
      <c r="M25" s="36" t="s">
        <v>846</v>
      </c>
      <c r="N25" s="21" t="s">
        <v>846</v>
      </c>
      <c r="O25" s="45"/>
      <c r="P25" s="46">
        <v>9</v>
      </c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9" t="s">
        <v>846</v>
      </c>
      <c r="AD25" s="27"/>
      <c r="AE25" s="9"/>
    </row>
    <row r="26" spans="1:31" x14ac:dyDescent="0.25">
      <c r="A26" s="37"/>
      <c r="B26" s="48"/>
      <c r="C26" s="33"/>
      <c r="D26" s="33"/>
      <c r="E26" s="33"/>
      <c r="F26" s="33"/>
      <c r="G26" s="33"/>
      <c r="H26" s="33"/>
      <c r="I26" s="33"/>
      <c r="J26" s="33"/>
      <c r="K26" s="33"/>
      <c r="L26" s="48" t="str">
        <f t="shared" si="1"/>
        <v/>
      </c>
      <c r="M26" s="36" t="s">
        <v>846</v>
      </c>
      <c r="N26" s="21" t="s">
        <v>846</v>
      </c>
      <c r="O26" s="45"/>
      <c r="P26" s="46">
        <v>10</v>
      </c>
      <c r="Q26" s="24"/>
      <c r="R26" s="24"/>
      <c r="S26" s="25"/>
      <c r="T26" s="25"/>
      <c r="U26" s="25"/>
      <c r="V26" s="25"/>
      <c r="W26" s="25"/>
      <c r="X26" s="25"/>
      <c r="Y26" s="25"/>
      <c r="Z26" s="25"/>
      <c r="AA26" s="25"/>
      <c r="AB26" s="8"/>
      <c r="AC26" s="9" t="s">
        <v>846</v>
      </c>
      <c r="AD26" s="8"/>
      <c r="AE26" s="9"/>
    </row>
    <row r="27" spans="1:31" x14ac:dyDescent="0.25">
      <c r="A27" s="37"/>
      <c r="B27" s="48"/>
      <c r="C27" s="33"/>
      <c r="D27" s="33"/>
      <c r="E27" s="33"/>
      <c r="F27" s="33"/>
      <c r="G27" s="33"/>
      <c r="H27" s="33"/>
      <c r="I27" s="33"/>
      <c r="J27" s="33"/>
      <c r="K27" s="33"/>
      <c r="L27" s="48" t="str">
        <f t="shared" si="1"/>
        <v/>
      </c>
      <c r="M27" s="36" t="s">
        <v>846</v>
      </c>
      <c r="N27" s="21" t="s">
        <v>846</v>
      </c>
      <c r="O27" s="45"/>
      <c r="P27" s="46">
        <v>11</v>
      </c>
      <c r="Q27" s="24"/>
      <c r="R27" s="24"/>
      <c r="S27" s="25"/>
      <c r="T27" s="25"/>
      <c r="U27" s="25"/>
      <c r="V27" s="25"/>
      <c r="W27" s="25"/>
      <c r="X27" s="25"/>
      <c r="Y27" s="25"/>
      <c r="Z27" s="25"/>
      <c r="AA27" s="25"/>
      <c r="AB27" s="8"/>
      <c r="AC27" s="9" t="s">
        <v>846</v>
      </c>
      <c r="AD27" s="8"/>
      <c r="AE27" s="9"/>
    </row>
    <row r="28" spans="1:31" x14ac:dyDescent="0.25">
      <c r="A28" s="37"/>
      <c r="B28" s="48"/>
      <c r="C28" s="33"/>
      <c r="D28" s="33"/>
      <c r="E28" s="33"/>
      <c r="F28" s="33"/>
      <c r="G28" s="33"/>
      <c r="H28" s="33"/>
      <c r="I28" s="33"/>
      <c r="J28" s="33"/>
      <c r="K28" s="33"/>
      <c r="L28" s="48" t="str">
        <f t="shared" si="1"/>
        <v/>
      </c>
      <c r="M28" s="36" t="s">
        <v>846</v>
      </c>
      <c r="N28" s="21" t="s">
        <v>846</v>
      </c>
      <c r="O28" s="45"/>
      <c r="P28" s="46">
        <v>12</v>
      </c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8"/>
      <c r="AC28" s="9" t="s">
        <v>846</v>
      </c>
      <c r="AD28" s="8"/>
      <c r="AE28" s="9"/>
    </row>
    <row r="29" spans="1:31" x14ac:dyDescent="0.25">
      <c r="A29" s="37"/>
      <c r="B29" s="48"/>
      <c r="C29" s="33"/>
      <c r="D29" s="33"/>
      <c r="E29" s="33"/>
      <c r="F29" s="33"/>
      <c r="G29" s="33"/>
      <c r="H29" s="33"/>
      <c r="I29" s="33"/>
      <c r="J29" s="33"/>
      <c r="K29" s="33"/>
      <c r="L29" s="48" t="str">
        <f t="shared" si="1"/>
        <v/>
      </c>
      <c r="M29" s="36" t="s">
        <v>846</v>
      </c>
      <c r="N29" s="21" t="s">
        <v>846</v>
      </c>
      <c r="O29" s="45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6" t="s">
        <v>31</v>
      </c>
      <c r="AC29" s="82">
        <v>89.7</v>
      </c>
      <c r="AD29" s="82"/>
      <c r="AE29" s="82"/>
    </row>
    <row r="30" spans="1:31" x14ac:dyDescent="0.25">
      <c r="A30" s="37"/>
      <c r="B30" s="48"/>
      <c r="C30" s="33"/>
      <c r="D30" s="33"/>
      <c r="E30" s="33"/>
      <c r="F30" s="33"/>
      <c r="G30" s="33"/>
      <c r="H30" s="33"/>
      <c r="I30" s="33"/>
      <c r="J30" s="33"/>
      <c r="K30" s="33"/>
      <c r="L30" s="48" t="str">
        <f t="shared" si="1"/>
        <v/>
      </c>
      <c r="M30" s="36" t="s">
        <v>846</v>
      </c>
      <c r="N30" s="21" t="s">
        <v>846</v>
      </c>
      <c r="O30" s="45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14" t="s">
        <v>32</v>
      </c>
      <c r="AC30" s="82">
        <v>10.299999999999997</v>
      </c>
      <c r="AD30" s="82"/>
      <c r="AE30" s="82"/>
    </row>
    <row r="31" spans="1:31" x14ac:dyDescent="0.25">
      <c r="A31" s="37"/>
      <c r="B31" s="48"/>
      <c r="C31" s="33"/>
      <c r="D31" s="33"/>
      <c r="E31" s="33"/>
      <c r="F31" s="33"/>
      <c r="G31" s="33"/>
      <c r="H31" s="33"/>
      <c r="I31" s="33"/>
      <c r="J31" s="33"/>
      <c r="K31" s="33"/>
      <c r="L31" s="48" t="str">
        <f t="shared" si="1"/>
        <v/>
      </c>
      <c r="M31" s="36" t="s">
        <v>846</v>
      </c>
      <c r="N31" s="21" t="s">
        <v>846</v>
      </c>
      <c r="O31" s="45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14" t="s">
        <v>23</v>
      </c>
      <c r="AC31" s="83" t="s">
        <v>847</v>
      </c>
      <c r="AD31" s="83"/>
      <c r="AE31" s="83"/>
    </row>
    <row r="32" spans="1:31" x14ac:dyDescent="0.25">
      <c r="A32" s="37"/>
      <c r="B32" s="48"/>
      <c r="C32" s="33"/>
      <c r="D32" s="33"/>
      <c r="E32" s="33"/>
      <c r="F32" s="33"/>
      <c r="G32" s="33"/>
      <c r="H32" s="33"/>
      <c r="I32" s="33"/>
      <c r="J32" s="33"/>
      <c r="K32" s="33"/>
      <c r="L32" s="48" t="str">
        <f t="shared" si="1"/>
        <v/>
      </c>
      <c r="M32" s="36" t="s">
        <v>846</v>
      </c>
      <c r="N32" s="21" t="s">
        <v>846</v>
      </c>
      <c r="O32" s="45"/>
      <c r="P32" s="45"/>
      <c r="Q32" s="45"/>
      <c r="R32" s="29"/>
      <c r="S32" s="29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</row>
    <row r="33" spans="1:31" x14ac:dyDescent="0.25">
      <c r="A33" s="37"/>
      <c r="B33" s="48"/>
      <c r="C33" s="33"/>
      <c r="D33" s="33"/>
      <c r="E33" s="33"/>
      <c r="F33" s="33"/>
      <c r="G33" s="33"/>
      <c r="H33" s="33"/>
      <c r="I33" s="33"/>
      <c r="J33" s="33"/>
      <c r="K33" s="33"/>
      <c r="L33" s="48" t="str">
        <f t="shared" si="1"/>
        <v/>
      </c>
      <c r="M33" s="36" t="s">
        <v>846</v>
      </c>
      <c r="N33" s="21" t="s">
        <v>846</v>
      </c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</row>
    <row r="34" spans="1:31" x14ac:dyDescent="0.25">
      <c r="A34" s="37"/>
      <c r="B34" s="48"/>
      <c r="C34" s="33"/>
      <c r="D34" s="33"/>
      <c r="E34" s="33"/>
      <c r="F34" s="33"/>
      <c r="G34" s="33"/>
      <c r="H34" s="33"/>
      <c r="I34" s="33"/>
      <c r="J34" s="33"/>
      <c r="K34" s="33"/>
      <c r="L34" s="48" t="str">
        <f t="shared" si="1"/>
        <v/>
      </c>
      <c r="M34" s="36" t="s">
        <v>846</v>
      </c>
      <c r="N34" s="21" t="s">
        <v>846</v>
      </c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</row>
    <row r="35" spans="1:31" x14ac:dyDescent="0.25">
      <c r="A35" s="37"/>
      <c r="B35" s="48"/>
      <c r="C35" s="33"/>
      <c r="D35" s="33"/>
      <c r="E35" s="33"/>
      <c r="F35" s="33"/>
      <c r="G35" s="33"/>
      <c r="H35" s="33"/>
      <c r="I35" s="33"/>
      <c r="J35" s="33"/>
      <c r="K35" s="33"/>
      <c r="L35" s="48" t="str">
        <f t="shared" si="1"/>
        <v/>
      </c>
      <c r="M35" s="36" t="s">
        <v>846</v>
      </c>
      <c r="N35" s="21" t="s">
        <v>846</v>
      </c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</row>
    <row r="37" spans="1:31" ht="15.75" thickBot="1" x14ac:dyDescent="0.3">
      <c r="A37" s="70" t="s">
        <v>0</v>
      </c>
      <c r="B37" s="70"/>
      <c r="C37" s="70"/>
      <c r="D37" s="70"/>
      <c r="E37" s="70"/>
      <c r="F37" s="70"/>
      <c r="G37" s="70"/>
      <c r="H37" s="70"/>
      <c r="I37" s="70"/>
      <c r="J37" s="67" t="s">
        <v>1</v>
      </c>
      <c r="K37" s="67"/>
      <c r="L37" s="67"/>
      <c r="M37" s="67"/>
      <c r="N37" s="67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45"/>
      <c r="AD37" s="45"/>
      <c r="AE37" s="45"/>
    </row>
    <row r="38" spans="1:31" ht="15.75" thickBot="1" x14ac:dyDescent="0.3">
      <c r="A38" s="71" t="s">
        <v>2</v>
      </c>
      <c r="B38" s="71"/>
      <c r="C38" s="71"/>
      <c r="D38" s="71"/>
      <c r="E38" s="71"/>
      <c r="F38" s="71"/>
      <c r="G38" s="71"/>
      <c r="H38" s="71"/>
      <c r="I38" s="71"/>
      <c r="J38" s="67"/>
      <c r="K38" s="67"/>
      <c r="L38" s="67"/>
      <c r="M38" s="67"/>
      <c r="N38" s="67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45"/>
      <c r="AD38" s="45"/>
      <c r="AE38" s="45"/>
    </row>
    <row r="39" spans="1:31" ht="15.75" thickBot="1" x14ac:dyDescent="0.3">
      <c r="A39" s="72" t="s">
        <v>3</v>
      </c>
      <c r="B39" s="72"/>
      <c r="C39" s="72"/>
      <c r="D39" s="72"/>
      <c r="E39" s="72"/>
      <c r="F39" s="72"/>
      <c r="G39" s="72"/>
      <c r="H39" s="73"/>
      <c r="I39" s="72"/>
      <c r="J39" s="68"/>
      <c r="K39" s="68"/>
      <c r="L39" s="68"/>
      <c r="M39" s="68"/>
      <c r="N39" s="68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45"/>
      <c r="AD39" s="45"/>
      <c r="AE39" s="45"/>
    </row>
    <row r="40" spans="1:31" x14ac:dyDescent="0.25">
      <c r="A40" s="74" t="s">
        <v>22</v>
      </c>
      <c r="B40" s="74"/>
      <c r="C40" s="74"/>
      <c r="D40" s="75" t="s">
        <v>837</v>
      </c>
      <c r="E40" s="75"/>
      <c r="F40" s="75"/>
      <c r="G40" s="76"/>
      <c r="H40" s="40" t="s">
        <v>35</v>
      </c>
      <c r="I40" s="12">
        <v>1</v>
      </c>
      <c r="J40" s="61" t="s">
        <v>33</v>
      </c>
      <c r="K40" s="56">
        <v>7.4</v>
      </c>
      <c r="L40" s="5"/>
      <c r="M40" s="61" t="s">
        <v>36</v>
      </c>
      <c r="N40" s="15">
        <v>43415</v>
      </c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45"/>
      <c r="AD40" s="45"/>
      <c r="AE40" s="45"/>
    </row>
    <row r="41" spans="1:31" x14ac:dyDescent="0.25">
      <c r="A41" s="65" t="s">
        <v>37</v>
      </c>
      <c r="B41" s="65"/>
      <c r="C41" s="65"/>
      <c r="D41" s="77" t="s">
        <v>838</v>
      </c>
      <c r="E41" s="77"/>
      <c r="F41" s="77"/>
      <c r="G41" s="78"/>
      <c r="H41" s="40" t="s">
        <v>38</v>
      </c>
      <c r="I41" s="12">
        <v>1</v>
      </c>
      <c r="J41" s="61" t="s">
        <v>39</v>
      </c>
      <c r="K41" s="58">
        <v>30.4</v>
      </c>
      <c r="L41" s="65" t="s">
        <v>40</v>
      </c>
      <c r="M41" s="65"/>
      <c r="N41" s="55" t="s">
        <v>848</v>
      </c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45"/>
      <c r="AD41" s="45"/>
      <c r="AE41" s="45"/>
    </row>
    <row r="42" spans="1:31" ht="15.75" thickBot="1" x14ac:dyDescent="0.3">
      <c r="A42" s="66" t="s">
        <v>41</v>
      </c>
      <c r="B42" s="66"/>
      <c r="C42" s="66"/>
      <c r="D42" s="79" t="s">
        <v>839</v>
      </c>
      <c r="E42" s="79"/>
      <c r="F42" s="79"/>
      <c r="G42" s="80"/>
      <c r="H42" s="33"/>
      <c r="I42" s="45"/>
      <c r="J42" s="1"/>
      <c r="K42" s="45"/>
      <c r="L42" s="4"/>
      <c r="M42" s="16" t="s">
        <v>42</v>
      </c>
      <c r="N42" s="57">
        <v>224.96</v>
      </c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45"/>
      <c r="AD42" s="45"/>
      <c r="AE42" s="45"/>
    </row>
    <row r="43" spans="1:31" x14ac:dyDescent="0.25">
      <c r="A43" s="64" t="s">
        <v>4</v>
      </c>
      <c r="B43" s="64"/>
      <c r="C43" s="59"/>
      <c r="D43" s="64" t="s">
        <v>833</v>
      </c>
      <c r="E43" s="69"/>
      <c r="F43" s="69"/>
      <c r="G43" s="69"/>
      <c r="H43" s="64" t="s">
        <v>5</v>
      </c>
      <c r="I43" s="69"/>
      <c r="J43" s="64"/>
      <c r="K43" s="69"/>
      <c r="L43" s="69" t="s">
        <v>43</v>
      </c>
      <c r="M43" s="69"/>
      <c r="N43" s="69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45"/>
      <c r="AD43" s="45"/>
      <c r="AE43" s="45"/>
    </row>
    <row r="44" spans="1:31" x14ac:dyDescent="0.25">
      <c r="A44" s="64" t="s">
        <v>6</v>
      </c>
      <c r="B44" s="64"/>
      <c r="C44" s="59"/>
      <c r="D44" s="64" t="s">
        <v>7</v>
      </c>
      <c r="E44" s="64"/>
      <c r="F44" s="64"/>
      <c r="G44" s="64"/>
      <c r="H44" s="64" t="s">
        <v>8</v>
      </c>
      <c r="I44" s="64"/>
      <c r="J44" s="64"/>
      <c r="K44" s="64"/>
      <c r="L44" s="64" t="s">
        <v>44</v>
      </c>
      <c r="M44" s="64"/>
      <c r="N44" s="64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45"/>
      <c r="AD44" s="45"/>
      <c r="AE44" s="45"/>
    </row>
    <row r="45" spans="1:31" x14ac:dyDescent="0.25">
      <c r="A45" s="64" t="s">
        <v>9</v>
      </c>
      <c r="B45" s="64"/>
      <c r="C45" s="59"/>
      <c r="D45" s="64" t="s">
        <v>10</v>
      </c>
      <c r="E45" s="64"/>
      <c r="F45" s="64"/>
      <c r="G45" s="64"/>
      <c r="H45" s="64" t="s">
        <v>11</v>
      </c>
      <c r="I45" s="64"/>
      <c r="J45" s="64"/>
      <c r="K45" s="64"/>
      <c r="L45" s="59" t="s">
        <v>45</v>
      </c>
      <c r="M45" s="59"/>
      <c r="N45" s="59"/>
      <c r="O45" s="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</row>
    <row r="46" spans="1:31" x14ac:dyDescent="0.25">
      <c r="A46" s="3" t="s">
        <v>12</v>
      </c>
      <c r="B46" s="3"/>
      <c r="C46" s="59"/>
      <c r="D46" s="64" t="s">
        <v>13</v>
      </c>
      <c r="E46" s="64"/>
      <c r="F46" s="64"/>
      <c r="G46" s="64"/>
      <c r="H46" s="64" t="s">
        <v>46</v>
      </c>
      <c r="I46" s="64"/>
      <c r="J46" s="64"/>
      <c r="K46" s="64"/>
      <c r="L46" s="59" t="s">
        <v>47</v>
      </c>
      <c r="M46" s="59"/>
      <c r="N46" s="59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</row>
    <row r="47" spans="1:31" x14ac:dyDescent="0.25">
      <c r="A47" s="64" t="s">
        <v>15</v>
      </c>
      <c r="B47" s="64"/>
      <c r="C47" s="59"/>
      <c r="D47" s="64" t="s">
        <v>16</v>
      </c>
      <c r="E47" s="64"/>
      <c r="F47" s="64"/>
      <c r="G47" s="64"/>
      <c r="H47" s="64" t="s">
        <v>48</v>
      </c>
      <c r="I47" s="64"/>
      <c r="J47" s="64"/>
      <c r="K47" s="64"/>
      <c r="L47" s="59" t="s">
        <v>14</v>
      </c>
      <c r="M47" s="59"/>
      <c r="N47" s="59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</row>
    <row r="48" spans="1:31" ht="25.5" x14ac:dyDescent="0.25">
      <c r="A48" s="60" t="s">
        <v>17</v>
      </c>
      <c r="B48" s="84" t="s">
        <v>18</v>
      </c>
      <c r="C48" s="84"/>
      <c r="D48" s="84"/>
      <c r="E48" s="84"/>
      <c r="F48" s="84"/>
      <c r="G48" s="84"/>
      <c r="H48" s="84"/>
      <c r="I48" s="84"/>
      <c r="J48" s="84"/>
      <c r="K48" s="84"/>
      <c r="L48" s="60" t="s">
        <v>19</v>
      </c>
      <c r="M48" s="60" t="s">
        <v>20</v>
      </c>
      <c r="N48" s="18" t="s">
        <v>21</v>
      </c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</row>
    <row r="49" spans="1:31" ht="15.75" thickBot="1" x14ac:dyDescent="0.3">
      <c r="A49" s="49" t="s">
        <v>841</v>
      </c>
      <c r="B49" s="48">
        <f>20*1.3</f>
        <v>26</v>
      </c>
      <c r="C49" s="48">
        <f>20*1.2</f>
        <v>24</v>
      </c>
      <c r="D49" s="48"/>
      <c r="E49" s="48"/>
      <c r="F49" s="48"/>
      <c r="G49" s="48"/>
      <c r="H49" s="48"/>
      <c r="I49" s="48"/>
      <c r="J49" s="48"/>
      <c r="K49" s="48"/>
      <c r="L49" s="48">
        <f t="shared" ref="L49:L55" si="2">IF(B49="","",SUM(B49:K49))</f>
        <v>50</v>
      </c>
      <c r="M49" s="36">
        <v>22.226173541963014</v>
      </c>
      <c r="N49" s="21">
        <v>57.2</v>
      </c>
      <c r="O49" s="45"/>
      <c r="P49" s="85" t="s">
        <v>24</v>
      </c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</row>
    <row r="50" spans="1:31" ht="15.75" thickBot="1" x14ac:dyDescent="0.3">
      <c r="A50" s="49" t="s">
        <v>849</v>
      </c>
      <c r="B50" s="48">
        <f>1.3*2.2</f>
        <v>2.8600000000000003</v>
      </c>
      <c r="C50" s="48">
        <v>0.7</v>
      </c>
      <c r="D50" s="48">
        <f>2*2.4</f>
        <v>4.8</v>
      </c>
      <c r="E50" s="48">
        <f>1.7*1.4</f>
        <v>2.38</v>
      </c>
      <c r="F50" s="48">
        <f>4.6*3.2</f>
        <v>14.719999999999999</v>
      </c>
      <c r="G50" s="48"/>
      <c r="H50" s="48"/>
      <c r="I50" s="48"/>
      <c r="J50" s="48"/>
      <c r="K50" s="48"/>
      <c r="L50" s="48">
        <f t="shared" si="2"/>
        <v>25.459999999999997</v>
      </c>
      <c r="M50" s="36">
        <v>11.317567567567565</v>
      </c>
      <c r="N50" s="21">
        <v>32.299999999999997</v>
      </c>
      <c r="O50" s="45"/>
      <c r="P50" s="86" t="s">
        <v>25</v>
      </c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</row>
    <row r="51" spans="1:31" ht="15.75" thickBot="1" x14ac:dyDescent="0.3">
      <c r="A51" s="49" t="s">
        <v>845</v>
      </c>
      <c r="B51" s="48">
        <f>20*7.4</f>
        <v>148</v>
      </c>
      <c r="C51" s="48"/>
      <c r="D51" s="48"/>
      <c r="E51" s="48"/>
      <c r="F51" s="48"/>
      <c r="G51" s="48"/>
      <c r="H51" s="48"/>
      <c r="I51" s="48"/>
      <c r="J51" s="48"/>
      <c r="K51" s="48"/>
      <c r="L51" s="48">
        <f t="shared" si="2"/>
        <v>148</v>
      </c>
      <c r="M51" s="36">
        <v>65.78947368421052</v>
      </c>
      <c r="N51" s="21">
        <v>37.299999999999997</v>
      </c>
      <c r="O51" s="45"/>
      <c r="P51" s="87" t="s">
        <v>49</v>
      </c>
      <c r="Q51" s="87"/>
      <c r="R51" s="87"/>
      <c r="S51" s="87"/>
      <c r="T51" s="88" t="s">
        <v>848</v>
      </c>
      <c r="U51" s="88"/>
      <c r="V51" s="88"/>
      <c r="W51" s="88"/>
      <c r="X51" s="22" t="s">
        <v>50</v>
      </c>
      <c r="Y51" s="22"/>
      <c r="Z51" s="45"/>
      <c r="AA51" s="89">
        <v>224.96</v>
      </c>
      <c r="AB51" s="89"/>
      <c r="AC51" s="89"/>
      <c r="AD51" s="89"/>
      <c r="AE51" s="89"/>
    </row>
    <row r="52" spans="1:31" x14ac:dyDescent="0.25">
      <c r="A52" s="49" t="s">
        <v>850</v>
      </c>
      <c r="B52" s="48">
        <v>1</v>
      </c>
      <c r="C52" s="48">
        <v>2</v>
      </c>
      <c r="D52" s="48">
        <v>2</v>
      </c>
      <c r="E52" s="48"/>
      <c r="F52" s="48"/>
      <c r="G52" s="48"/>
      <c r="H52" s="48"/>
      <c r="I52" s="48"/>
      <c r="J52" s="48"/>
      <c r="K52" s="48"/>
      <c r="L52" s="48">
        <f t="shared" si="2"/>
        <v>5</v>
      </c>
      <c r="M52" s="36">
        <v>2.2226173541963012</v>
      </c>
      <c r="N52" s="21">
        <v>52.3</v>
      </c>
      <c r="O52" s="45"/>
      <c r="P52" s="23" t="s">
        <v>26</v>
      </c>
      <c r="Q52" s="81" t="s">
        <v>27</v>
      </c>
      <c r="R52" s="81"/>
      <c r="S52" s="81"/>
      <c r="T52" s="81"/>
      <c r="U52" s="81"/>
      <c r="V52" s="81"/>
      <c r="W52" s="81"/>
      <c r="X52" s="81"/>
      <c r="Y52" s="81"/>
      <c r="Z52" s="81"/>
      <c r="AA52" s="23"/>
      <c r="AB52" s="2"/>
      <c r="AC52" s="28" t="s">
        <v>28</v>
      </c>
      <c r="AD52" s="28" t="s">
        <v>29</v>
      </c>
      <c r="AE52" s="28" t="s">
        <v>30</v>
      </c>
    </row>
    <row r="53" spans="1:31" x14ac:dyDescent="0.25">
      <c r="A53" s="37" t="s">
        <v>851</v>
      </c>
      <c r="B53" s="51">
        <f>1.4*7.5</f>
        <v>10.5</v>
      </c>
      <c r="C53" s="51"/>
      <c r="D53" s="51"/>
      <c r="E53" s="48"/>
      <c r="F53" s="48"/>
      <c r="G53" s="48"/>
      <c r="H53" s="48"/>
      <c r="I53" s="48"/>
      <c r="J53" s="48"/>
      <c r="K53" s="48"/>
      <c r="L53" s="48">
        <f t="shared" si="2"/>
        <v>10.5</v>
      </c>
      <c r="M53" s="36">
        <v>4.6674964438122331</v>
      </c>
      <c r="N53" s="21">
        <v>37</v>
      </c>
      <c r="O53" s="45"/>
      <c r="P53" s="46">
        <v>1</v>
      </c>
      <c r="Q53" s="24">
        <v>57.2</v>
      </c>
      <c r="R53" s="24">
        <v>54</v>
      </c>
      <c r="S53" s="24">
        <v>52.3</v>
      </c>
      <c r="T53" s="24">
        <v>37.299999999999997</v>
      </c>
      <c r="U53" s="24">
        <v>33.300000000000011</v>
      </c>
      <c r="V53" s="24">
        <v>29.070000000000007</v>
      </c>
      <c r="W53" s="24"/>
      <c r="X53" s="24"/>
      <c r="Y53" s="24"/>
      <c r="Z53" s="24"/>
      <c r="AA53" s="24"/>
      <c r="AB53" s="24"/>
      <c r="AC53" s="9">
        <v>263.17</v>
      </c>
      <c r="AD53" s="27">
        <v>6</v>
      </c>
      <c r="AE53" s="9">
        <v>90.1</v>
      </c>
    </row>
    <row r="54" spans="1:31" x14ac:dyDescent="0.25">
      <c r="A54" s="49" t="s">
        <v>843</v>
      </c>
      <c r="B54" s="48">
        <v>2</v>
      </c>
      <c r="C54" s="48"/>
      <c r="D54" s="48"/>
      <c r="E54" s="48"/>
      <c r="F54" s="48"/>
      <c r="G54" s="48"/>
      <c r="H54" s="48"/>
      <c r="I54" s="48"/>
      <c r="J54" s="33"/>
      <c r="K54" s="33"/>
      <c r="L54" s="48">
        <f t="shared" si="2"/>
        <v>2</v>
      </c>
      <c r="M54" s="36">
        <v>0.8890469416785205</v>
      </c>
      <c r="N54" s="21">
        <v>54</v>
      </c>
      <c r="O54" s="45"/>
      <c r="P54" s="46">
        <v>2</v>
      </c>
      <c r="Q54" s="24">
        <v>57.2</v>
      </c>
      <c r="R54" s="24">
        <v>54</v>
      </c>
      <c r="S54" s="24">
        <v>52.3</v>
      </c>
      <c r="T54" s="24">
        <v>37.299999999999997</v>
      </c>
      <c r="U54" s="24">
        <v>33.300000000000011</v>
      </c>
      <c r="V54" s="24">
        <v>2</v>
      </c>
      <c r="W54" s="24"/>
      <c r="X54" s="24"/>
      <c r="Y54" s="24"/>
      <c r="Z54" s="24"/>
      <c r="AA54" s="24"/>
      <c r="AB54" s="24"/>
      <c r="AC54" s="9">
        <v>236.10000000000002</v>
      </c>
      <c r="AD54" s="27">
        <v>5</v>
      </c>
      <c r="AE54" s="9">
        <v>99.5</v>
      </c>
    </row>
    <row r="55" spans="1:31" x14ac:dyDescent="0.25">
      <c r="A55" s="49"/>
      <c r="B55" s="48"/>
      <c r="C55" s="48"/>
      <c r="D55" s="48"/>
      <c r="E55" s="51"/>
      <c r="F55" s="48"/>
      <c r="G55" s="48"/>
      <c r="H55" s="48"/>
      <c r="I55" s="48"/>
      <c r="J55" s="33"/>
      <c r="K55" s="33"/>
      <c r="L55" s="48" t="str">
        <f t="shared" si="2"/>
        <v/>
      </c>
      <c r="M55" s="36" t="s">
        <v>846</v>
      </c>
      <c r="N55" s="21" t="s">
        <v>846</v>
      </c>
      <c r="O55" s="45"/>
      <c r="P55" s="46">
        <v>3</v>
      </c>
      <c r="Q55" s="24">
        <v>57.2</v>
      </c>
      <c r="R55" s="24">
        <v>54</v>
      </c>
      <c r="S55" s="24">
        <v>52.3</v>
      </c>
      <c r="T55" s="24">
        <v>37.299999999999997</v>
      </c>
      <c r="U55" s="24">
        <v>2</v>
      </c>
      <c r="V55" s="24">
        <v>2</v>
      </c>
      <c r="W55" s="24"/>
      <c r="X55" s="24"/>
      <c r="Y55" s="24"/>
      <c r="Z55" s="24"/>
      <c r="AA55" s="24"/>
      <c r="AB55" s="24"/>
      <c r="AC55" s="9">
        <v>204.8</v>
      </c>
      <c r="AD55" s="27">
        <v>4</v>
      </c>
      <c r="AE55" s="9">
        <v>98.5</v>
      </c>
    </row>
    <row r="56" spans="1:31" x14ac:dyDescent="0.25">
      <c r="A56" s="46"/>
      <c r="B56" s="47"/>
      <c r="C56" s="47"/>
      <c r="D56" s="47"/>
      <c r="E56" s="48"/>
      <c r="F56" s="48"/>
      <c r="G56" s="48"/>
      <c r="H56" s="48"/>
      <c r="I56" s="48"/>
      <c r="J56" s="33"/>
      <c r="K56" s="33"/>
      <c r="L56" s="48" t="str">
        <f t="shared" ref="L56:L71" si="3">IF(B56="","",SUM(B56:K56))</f>
        <v/>
      </c>
      <c r="M56" s="36" t="s">
        <v>846</v>
      </c>
      <c r="N56" s="21" t="s">
        <v>846</v>
      </c>
      <c r="O56" s="45"/>
      <c r="P56" s="46">
        <v>4</v>
      </c>
      <c r="Q56" s="24">
        <v>57.2</v>
      </c>
      <c r="R56" s="24">
        <v>54</v>
      </c>
      <c r="S56" s="24">
        <v>52.3</v>
      </c>
      <c r="T56" s="24">
        <v>2</v>
      </c>
      <c r="U56" s="24">
        <v>2</v>
      </c>
      <c r="V56" s="24">
        <v>2</v>
      </c>
      <c r="W56" s="24"/>
      <c r="X56" s="24"/>
      <c r="Y56" s="24"/>
      <c r="Z56" s="24"/>
      <c r="AA56" s="24"/>
      <c r="AB56" s="24"/>
      <c r="AC56" s="9">
        <v>169.5</v>
      </c>
      <c r="AD56" s="27">
        <v>3</v>
      </c>
      <c r="AE56" s="9">
        <v>95.5</v>
      </c>
    </row>
    <row r="57" spans="1:31" x14ac:dyDescent="0.25">
      <c r="A57" s="46"/>
      <c r="B57" s="47"/>
      <c r="C57" s="47"/>
      <c r="D57" s="47"/>
      <c r="E57" s="48"/>
      <c r="F57" s="48"/>
      <c r="G57" s="48"/>
      <c r="H57" s="48"/>
      <c r="I57" s="48"/>
      <c r="J57" s="33"/>
      <c r="K57" s="33"/>
      <c r="L57" s="48" t="str">
        <f t="shared" si="3"/>
        <v/>
      </c>
      <c r="M57" s="36" t="s">
        <v>846</v>
      </c>
      <c r="N57" s="21" t="s">
        <v>846</v>
      </c>
      <c r="O57" s="45"/>
      <c r="P57" s="46">
        <v>5</v>
      </c>
      <c r="Q57" s="24">
        <v>57.2</v>
      </c>
      <c r="R57" s="24">
        <v>54</v>
      </c>
      <c r="S57" s="24">
        <v>2</v>
      </c>
      <c r="T57" s="24">
        <v>2</v>
      </c>
      <c r="U57" s="24">
        <v>2</v>
      </c>
      <c r="V57" s="24">
        <v>2</v>
      </c>
      <c r="W57" s="24"/>
      <c r="X57" s="24"/>
      <c r="Y57" s="24"/>
      <c r="Z57" s="24"/>
      <c r="AA57" s="24"/>
      <c r="AB57" s="24"/>
      <c r="AC57" s="9">
        <v>119.2</v>
      </c>
      <c r="AD57" s="27">
        <v>2</v>
      </c>
      <c r="AE57" s="9">
        <v>79.2</v>
      </c>
    </row>
    <row r="58" spans="1:31" x14ac:dyDescent="0.25">
      <c r="A58" s="46"/>
      <c r="B58" s="47"/>
      <c r="C58" s="47"/>
      <c r="D58" s="47"/>
      <c r="E58" s="48"/>
      <c r="F58" s="48"/>
      <c r="G58" s="48"/>
      <c r="H58" s="48"/>
      <c r="I58" s="48"/>
      <c r="J58" s="33"/>
      <c r="K58" s="33"/>
      <c r="L58" s="48" t="str">
        <f t="shared" si="3"/>
        <v/>
      </c>
      <c r="M58" s="36" t="s">
        <v>846</v>
      </c>
      <c r="N58" s="21" t="s">
        <v>846</v>
      </c>
      <c r="O58" s="45"/>
      <c r="P58" s="46">
        <v>6</v>
      </c>
      <c r="Q58" s="24">
        <v>57.2</v>
      </c>
      <c r="R58" s="24">
        <v>2</v>
      </c>
      <c r="S58" s="24">
        <v>2</v>
      </c>
      <c r="T58" s="24">
        <v>2</v>
      </c>
      <c r="U58" s="24">
        <v>2</v>
      </c>
      <c r="V58" s="24">
        <v>2</v>
      </c>
      <c r="W58" s="24"/>
      <c r="X58" s="24"/>
      <c r="Y58" s="24"/>
      <c r="Z58" s="24"/>
      <c r="AA58" s="24"/>
      <c r="AB58" s="24"/>
      <c r="AC58" s="9">
        <v>67.2</v>
      </c>
      <c r="AD58" s="27">
        <v>1</v>
      </c>
      <c r="AE58" s="9">
        <v>67.2</v>
      </c>
    </row>
    <row r="59" spans="1:31" x14ac:dyDescent="0.25">
      <c r="A59" s="37"/>
      <c r="B59" s="48"/>
      <c r="C59" s="46"/>
      <c r="D59" s="33"/>
      <c r="E59" s="47"/>
      <c r="F59" s="47"/>
      <c r="G59" s="47"/>
      <c r="H59" s="47"/>
      <c r="I59" s="47"/>
      <c r="J59" s="33"/>
      <c r="K59" s="33"/>
      <c r="L59" s="48" t="str">
        <f t="shared" si="3"/>
        <v/>
      </c>
      <c r="M59" s="36" t="s">
        <v>846</v>
      </c>
      <c r="N59" s="21" t="s">
        <v>846</v>
      </c>
      <c r="O59" s="45"/>
      <c r="P59" s="46">
        <v>7</v>
      </c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9" t="s">
        <v>846</v>
      </c>
      <c r="AD59" s="27"/>
      <c r="AE59" s="9"/>
    </row>
    <row r="60" spans="1:31" x14ac:dyDescent="0.25">
      <c r="A60" s="37"/>
      <c r="B60" s="48"/>
      <c r="C60" s="46"/>
      <c r="D60" s="33"/>
      <c r="E60" s="47"/>
      <c r="F60" s="47"/>
      <c r="G60" s="47"/>
      <c r="H60" s="47"/>
      <c r="I60" s="47"/>
      <c r="J60" s="33"/>
      <c r="K60" s="33"/>
      <c r="L60" s="48" t="str">
        <f t="shared" si="3"/>
        <v/>
      </c>
      <c r="M60" s="36" t="s">
        <v>846</v>
      </c>
      <c r="N60" s="21" t="s">
        <v>846</v>
      </c>
      <c r="O60" s="45"/>
      <c r="P60" s="46">
        <v>8</v>
      </c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9" t="s">
        <v>846</v>
      </c>
      <c r="AD60" s="27"/>
      <c r="AE60" s="9"/>
    </row>
    <row r="61" spans="1:31" x14ac:dyDescent="0.25">
      <c r="A61" s="37"/>
      <c r="B61" s="48"/>
      <c r="C61" s="46"/>
      <c r="D61" s="33"/>
      <c r="E61" s="33"/>
      <c r="F61" s="33"/>
      <c r="G61" s="33"/>
      <c r="H61" s="33"/>
      <c r="I61" s="33"/>
      <c r="J61" s="33"/>
      <c r="K61" s="33"/>
      <c r="L61" s="48" t="str">
        <f t="shared" si="3"/>
        <v/>
      </c>
      <c r="M61" s="36" t="s">
        <v>846</v>
      </c>
      <c r="N61" s="21" t="s">
        <v>846</v>
      </c>
      <c r="O61" s="45"/>
      <c r="P61" s="46">
        <v>9</v>
      </c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9" t="s">
        <v>846</v>
      </c>
      <c r="AD61" s="27"/>
      <c r="AE61" s="9"/>
    </row>
    <row r="62" spans="1:31" x14ac:dyDescent="0.25">
      <c r="A62" s="37"/>
      <c r="B62" s="48"/>
      <c r="C62" s="33"/>
      <c r="D62" s="33"/>
      <c r="E62" s="33"/>
      <c r="F62" s="33"/>
      <c r="G62" s="33"/>
      <c r="H62" s="33"/>
      <c r="I62" s="33"/>
      <c r="J62" s="33"/>
      <c r="K62" s="33"/>
      <c r="L62" s="48" t="str">
        <f t="shared" si="3"/>
        <v/>
      </c>
      <c r="M62" s="36" t="s">
        <v>846</v>
      </c>
      <c r="N62" s="21" t="s">
        <v>846</v>
      </c>
      <c r="O62" s="45"/>
      <c r="P62" s="46">
        <v>10</v>
      </c>
      <c r="Q62" s="24"/>
      <c r="R62" s="24"/>
      <c r="S62" s="25"/>
      <c r="T62" s="25"/>
      <c r="U62" s="25"/>
      <c r="V62" s="25"/>
      <c r="W62" s="25"/>
      <c r="X62" s="25"/>
      <c r="Y62" s="25"/>
      <c r="Z62" s="25"/>
      <c r="AA62" s="25"/>
      <c r="AB62" s="8"/>
      <c r="AC62" s="9" t="s">
        <v>846</v>
      </c>
      <c r="AD62" s="8"/>
      <c r="AE62" s="9"/>
    </row>
    <row r="63" spans="1:31" x14ac:dyDescent="0.25">
      <c r="A63" s="37"/>
      <c r="B63" s="48"/>
      <c r="C63" s="33"/>
      <c r="D63" s="33"/>
      <c r="E63" s="33"/>
      <c r="F63" s="33"/>
      <c r="G63" s="33"/>
      <c r="H63" s="33"/>
      <c r="I63" s="33"/>
      <c r="J63" s="33"/>
      <c r="K63" s="33"/>
      <c r="L63" s="48" t="str">
        <f t="shared" si="3"/>
        <v/>
      </c>
      <c r="M63" s="36" t="s">
        <v>846</v>
      </c>
      <c r="N63" s="21" t="s">
        <v>846</v>
      </c>
      <c r="O63" s="45"/>
      <c r="P63" s="46">
        <v>11</v>
      </c>
      <c r="Q63" s="24"/>
      <c r="R63" s="24"/>
      <c r="S63" s="25"/>
      <c r="T63" s="25"/>
      <c r="U63" s="25"/>
      <c r="V63" s="25"/>
      <c r="W63" s="25"/>
      <c r="X63" s="25"/>
      <c r="Y63" s="25"/>
      <c r="Z63" s="25"/>
      <c r="AA63" s="25"/>
      <c r="AB63" s="8"/>
      <c r="AC63" s="9" t="s">
        <v>846</v>
      </c>
      <c r="AD63" s="8"/>
      <c r="AE63" s="9"/>
    </row>
    <row r="64" spans="1:31" x14ac:dyDescent="0.25">
      <c r="A64" s="37"/>
      <c r="B64" s="48"/>
      <c r="C64" s="33"/>
      <c r="D64" s="33"/>
      <c r="E64" s="33"/>
      <c r="F64" s="33"/>
      <c r="G64" s="33"/>
      <c r="H64" s="33"/>
      <c r="I64" s="33"/>
      <c r="J64" s="33"/>
      <c r="K64" s="33"/>
      <c r="L64" s="48" t="str">
        <f t="shared" si="3"/>
        <v/>
      </c>
      <c r="M64" s="36" t="s">
        <v>846</v>
      </c>
      <c r="N64" s="21" t="s">
        <v>846</v>
      </c>
      <c r="O64" s="45"/>
      <c r="P64" s="46">
        <v>12</v>
      </c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8"/>
      <c r="AC64" s="9" t="s">
        <v>846</v>
      </c>
      <c r="AD64" s="8"/>
      <c r="AE64" s="9"/>
    </row>
    <row r="65" spans="1:31" x14ac:dyDescent="0.25">
      <c r="A65" s="37"/>
      <c r="B65" s="48"/>
      <c r="C65" s="33"/>
      <c r="D65" s="33"/>
      <c r="E65" s="33"/>
      <c r="F65" s="33"/>
      <c r="G65" s="33"/>
      <c r="H65" s="33"/>
      <c r="I65" s="33"/>
      <c r="J65" s="33"/>
      <c r="K65" s="33"/>
      <c r="L65" s="48" t="str">
        <f t="shared" si="3"/>
        <v/>
      </c>
      <c r="M65" s="36" t="s">
        <v>846</v>
      </c>
      <c r="N65" s="21" t="s">
        <v>846</v>
      </c>
      <c r="O65" s="45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6" t="s">
        <v>31</v>
      </c>
      <c r="AC65" s="82">
        <v>99.5</v>
      </c>
      <c r="AD65" s="82"/>
      <c r="AE65" s="82"/>
    </row>
    <row r="66" spans="1:31" x14ac:dyDescent="0.25">
      <c r="A66" s="37"/>
      <c r="B66" s="48"/>
      <c r="C66" s="33"/>
      <c r="D66" s="33"/>
      <c r="E66" s="33"/>
      <c r="F66" s="33"/>
      <c r="G66" s="33"/>
      <c r="H66" s="33"/>
      <c r="I66" s="33"/>
      <c r="J66" s="33"/>
      <c r="K66" s="33"/>
      <c r="L66" s="48" t="str">
        <f t="shared" si="3"/>
        <v/>
      </c>
      <c r="M66" s="36" t="s">
        <v>846</v>
      </c>
      <c r="N66" s="21" t="s">
        <v>846</v>
      </c>
      <c r="O66" s="4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14" t="s">
        <v>32</v>
      </c>
      <c r="AC66" s="82">
        <v>0.5</v>
      </c>
      <c r="AD66" s="82"/>
      <c r="AE66" s="82"/>
    </row>
    <row r="67" spans="1:31" x14ac:dyDescent="0.25">
      <c r="A67" s="37"/>
      <c r="B67" s="48"/>
      <c r="C67" s="33"/>
      <c r="D67" s="33"/>
      <c r="E67" s="33"/>
      <c r="F67" s="33"/>
      <c r="G67" s="33"/>
      <c r="H67" s="33"/>
      <c r="I67" s="33"/>
      <c r="J67" s="33"/>
      <c r="K67" s="33"/>
      <c r="L67" s="48" t="str">
        <f t="shared" si="3"/>
        <v/>
      </c>
      <c r="M67" s="36" t="s">
        <v>846</v>
      </c>
      <c r="N67" s="21" t="s">
        <v>846</v>
      </c>
      <c r="O67" s="45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14" t="s">
        <v>23</v>
      </c>
      <c r="AC67" s="83" t="s">
        <v>852</v>
      </c>
      <c r="AD67" s="83"/>
      <c r="AE67" s="83"/>
    </row>
    <row r="68" spans="1:31" x14ac:dyDescent="0.25">
      <c r="A68" s="37"/>
      <c r="B68" s="48"/>
      <c r="C68" s="33"/>
      <c r="D68" s="33"/>
      <c r="E68" s="33"/>
      <c r="F68" s="33"/>
      <c r="G68" s="33"/>
      <c r="H68" s="33"/>
      <c r="I68" s="33"/>
      <c r="J68" s="33"/>
      <c r="K68" s="33"/>
      <c r="L68" s="48" t="str">
        <f t="shared" si="3"/>
        <v/>
      </c>
      <c r="M68" s="36" t="s">
        <v>846</v>
      </c>
      <c r="N68" s="21" t="s">
        <v>846</v>
      </c>
      <c r="O68" s="45"/>
      <c r="P68" s="45"/>
      <c r="Q68" s="45"/>
      <c r="R68" s="29"/>
      <c r="S68" s="29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</row>
    <row r="69" spans="1:31" x14ac:dyDescent="0.25">
      <c r="A69" s="37"/>
      <c r="B69" s="48"/>
      <c r="C69" s="33"/>
      <c r="D69" s="33"/>
      <c r="E69" s="33"/>
      <c r="F69" s="33"/>
      <c r="G69" s="33"/>
      <c r="H69" s="33"/>
      <c r="I69" s="33"/>
      <c r="J69" s="33"/>
      <c r="K69" s="33"/>
      <c r="L69" s="48" t="str">
        <f t="shared" si="3"/>
        <v/>
      </c>
      <c r="M69" s="36" t="s">
        <v>846</v>
      </c>
      <c r="N69" s="21" t="s">
        <v>846</v>
      </c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</row>
    <row r="70" spans="1:31" x14ac:dyDescent="0.25">
      <c r="A70" s="37"/>
      <c r="B70" s="48"/>
      <c r="C70" s="33"/>
      <c r="D70" s="33"/>
      <c r="E70" s="33"/>
      <c r="F70" s="33"/>
      <c r="G70" s="33"/>
      <c r="H70" s="33"/>
      <c r="I70" s="33"/>
      <c r="J70" s="33"/>
      <c r="K70" s="33"/>
      <c r="L70" s="48" t="str">
        <f t="shared" si="3"/>
        <v/>
      </c>
      <c r="M70" s="36" t="s">
        <v>846</v>
      </c>
      <c r="N70" s="21" t="s">
        <v>846</v>
      </c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</row>
    <row r="71" spans="1:31" x14ac:dyDescent="0.25">
      <c r="A71" s="37"/>
      <c r="B71" s="48"/>
      <c r="C71" s="33"/>
      <c r="D71" s="33"/>
      <c r="E71" s="33"/>
      <c r="F71" s="33"/>
      <c r="G71" s="33"/>
      <c r="H71" s="33"/>
      <c r="I71" s="33"/>
      <c r="J71" s="33"/>
      <c r="K71" s="33"/>
      <c r="L71" s="48" t="str">
        <f t="shared" si="3"/>
        <v/>
      </c>
      <c r="M71" s="36" t="s">
        <v>846</v>
      </c>
      <c r="N71" s="21" t="s">
        <v>846</v>
      </c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</row>
    <row r="74" spans="1:31" ht="15.75" thickBot="1" x14ac:dyDescent="0.3">
      <c r="A74" s="70" t="s">
        <v>0</v>
      </c>
      <c r="B74" s="70"/>
      <c r="C74" s="70"/>
      <c r="D74" s="70"/>
      <c r="E74" s="70"/>
      <c r="F74" s="70"/>
      <c r="G74" s="70"/>
      <c r="H74" s="70"/>
      <c r="I74" s="70"/>
      <c r="J74" s="67" t="s">
        <v>1</v>
      </c>
      <c r="K74" s="67"/>
      <c r="L74" s="67"/>
      <c r="M74" s="67"/>
      <c r="N74" s="67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45"/>
      <c r="AD74" s="45"/>
      <c r="AE74" s="45"/>
    </row>
    <row r="75" spans="1:31" ht="15.75" thickBot="1" x14ac:dyDescent="0.3">
      <c r="A75" s="71" t="s">
        <v>2</v>
      </c>
      <c r="B75" s="71"/>
      <c r="C75" s="71"/>
      <c r="D75" s="71"/>
      <c r="E75" s="71"/>
      <c r="F75" s="71"/>
      <c r="G75" s="71"/>
      <c r="H75" s="71"/>
      <c r="I75" s="71"/>
      <c r="J75" s="67"/>
      <c r="K75" s="67"/>
      <c r="L75" s="67"/>
      <c r="M75" s="67"/>
      <c r="N75" s="67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45"/>
      <c r="AD75" s="45"/>
      <c r="AE75" s="45"/>
    </row>
    <row r="76" spans="1:31" ht="15.75" thickBot="1" x14ac:dyDescent="0.3">
      <c r="A76" s="72" t="s">
        <v>3</v>
      </c>
      <c r="B76" s="72"/>
      <c r="C76" s="72"/>
      <c r="D76" s="72"/>
      <c r="E76" s="72"/>
      <c r="F76" s="72"/>
      <c r="G76" s="72"/>
      <c r="H76" s="73"/>
      <c r="I76" s="72"/>
      <c r="J76" s="68"/>
      <c r="K76" s="68"/>
      <c r="L76" s="68"/>
      <c r="M76" s="68"/>
      <c r="N76" s="68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45"/>
      <c r="AD76" s="45"/>
      <c r="AE76" s="45"/>
    </row>
    <row r="77" spans="1:31" x14ac:dyDescent="0.25">
      <c r="A77" s="74" t="s">
        <v>22</v>
      </c>
      <c r="B77" s="74"/>
      <c r="C77" s="74"/>
      <c r="D77" s="75" t="s">
        <v>837</v>
      </c>
      <c r="E77" s="75"/>
      <c r="F77" s="75"/>
      <c r="G77" s="76"/>
      <c r="H77" s="40" t="s">
        <v>35</v>
      </c>
      <c r="I77" s="12">
        <v>1</v>
      </c>
      <c r="J77" s="61" t="s">
        <v>33</v>
      </c>
      <c r="K77" s="56">
        <v>7.4</v>
      </c>
      <c r="L77" s="5"/>
      <c r="M77" s="61" t="s">
        <v>36</v>
      </c>
      <c r="N77" s="15">
        <v>43415</v>
      </c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45"/>
      <c r="AD77" s="45"/>
      <c r="AE77" s="45"/>
    </row>
    <row r="78" spans="1:31" x14ac:dyDescent="0.25">
      <c r="A78" s="65" t="s">
        <v>37</v>
      </c>
      <c r="B78" s="65"/>
      <c r="C78" s="65"/>
      <c r="D78" s="77" t="s">
        <v>838</v>
      </c>
      <c r="E78" s="77"/>
      <c r="F78" s="77"/>
      <c r="G78" s="78"/>
      <c r="H78" s="40" t="s">
        <v>38</v>
      </c>
      <c r="I78" s="12">
        <v>1</v>
      </c>
      <c r="J78" s="61" t="s">
        <v>39</v>
      </c>
      <c r="K78" s="58">
        <v>39.9</v>
      </c>
      <c r="L78" s="65" t="s">
        <v>40</v>
      </c>
      <c r="M78" s="65"/>
      <c r="N78" s="55" t="s">
        <v>855</v>
      </c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45"/>
      <c r="AD78" s="45"/>
      <c r="AE78" s="45"/>
    </row>
    <row r="79" spans="1:31" ht="15.75" thickBot="1" x14ac:dyDescent="0.3">
      <c r="A79" s="66" t="s">
        <v>41</v>
      </c>
      <c r="B79" s="66"/>
      <c r="C79" s="66"/>
      <c r="D79" s="79" t="s">
        <v>839</v>
      </c>
      <c r="E79" s="79"/>
      <c r="F79" s="79"/>
      <c r="G79" s="80"/>
      <c r="H79" s="33"/>
      <c r="I79" s="45"/>
      <c r="J79" s="1"/>
      <c r="K79" s="45"/>
      <c r="L79" s="4"/>
      <c r="M79" s="16" t="s">
        <v>42</v>
      </c>
      <c r="N79" s="57">
        <v>295.26</v>
      </c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45"/>
      <c r="AD79" s="45"/>
      <c r="AE79" s="45"/>
    </row>
    <row r="80" spans="1:31" x14ac:dyDescent="0.25">
      <c r="A80" s="64" t="s">
        <v>4</v>
      </c>
      <c r="B80" s="64"/>
      <c r="C80" s="59"/>
      <c r="D80" s="64" t="s">
        <v>833</v>
      </c>
      <c r="E80" s="69"/>
      <c r="F80" s="69"/>
      <c r="G80" s="69"/>
      <c r="H80" s="64" t="s">
        <v>5</v>
      </c>
      <c r="I80" s="69"/>
      <c r="J80" s="64"/>
      <c r="K80" s="69"/>
      <c r="L80" s="69" t="s">
        <v>43</v>
      </c>
      <c r="M80" s="69"/>
      <c r="N80" s="69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45"/>
      <c r="AD80" s="45"/>
      <c r="AE80" s="45"/>
    </row>
    <row r="81" spans="1:31" x14ac:dyDescent="0.25">
      <c r="A81" s="64" t="s">
        <v>6</v>
      </c>
      <c r="B81" s="64"/>
      <c r="C81" s="59"/>
      <c r="D81" s="64" t="s">
        <v>7</v>
      </c>
      <c r="E81" s="64"/>
      <c r="F81" s="64"/>
      <c r="G81" s="64"/>
      <c r="H81" s="64" t="s">
        <v>8</v>
      </c>
      <c r="I81" s="64"/>
      <c r="J81" s="64"/>
      <c r="K81" s="64"/>
      <c r="L81" s="64" t="s">
        <v>44</v>
      </c>
      <c r="M81" s="64"/>
      <c r="N81" s="64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45"/>
      <c r="AD81" s="45"/>
      <c r="AE81" s="45"/>
    </row>
    <row r="82" spans="1:31" x14ac:dyDescent="0.25">
      <c r="A82" s="64" t="s">
        <v>9</v>
      </c>
      <c r="B82" s="64"/>
      <c r="C82" s="59"/>
      <c r="D82" s="64" t="s">
        <v>10</v>
      </c>
      <c r="E82" s="64"/>
      <c r="F82" s="64"/>
      <c r="G82" s="64"/>
      <c r="H82" s="64" t="s">
        <v>11</v>
      </c>
      <c r="I82" s="64"/>
      <c r="J82" s="64"/>
      <c r="K82" s="64"/>
      <c r="L82" s="59" t="s">
        <v>45</v>
      </c>
      <c r="M82" s="59"/>
      <c r="N82" s="59"/>
      <c r="O82" s="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</row>
    <row r="83" spans="1:31" x14ac:dyDescent="0.25">
      <c r="A83" s="3" t="s">
        <v>12</v>
      </c>
      <c r="B83" s="3"/>
      <c r="C83" s="59"/>
      <c r="D83" s="64" t="s">
        <v>13</v>
      </c>
      <c r="E83" s="64"/>
      <c r="F83" s="64"/>
      <c r="G83" s="64"/>
      <c r="H83" s="64" t="s">
        <v>46</v>
      </c>
      <c r="I83" s="64"/>
      <c r="J83" s="64"/>
      <c r="K83" s="64"/>
      <c r="L83" s="59" t="s">
        <v>47</v>
      </c>
      <c r="M83" s="59"/>
      <c r="N83" s="59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</row>
    <row r="84" spans="1:31" x14ac:dyDescent="0.25">
      <c r="A84" s="64" t="s">
        <v>15</v>
      </c>
      <c r="B84" s="64"/>
      <c r="C84" s="59"/>
      <c r="D84" s="64" t="s">
        <v>16</v>
      </c>
      <c r="E84" s="64"/>
      <c r="F84" s="64"/>
      <c r="G84" s="64"/>
      <c r="H84" s="64" t="s">
        <v>48</v>
      </c>
      <c r="I84" s="64"/>
      <c r="J84" s="64"/>
      <c r="K84" s="64"/>
      <c r="L84" s="59" t="s">
        <v>14</v>
      </c>
      <c r="M84" s="59"/>
      <c r="N84" s="59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</row>
    <row r="85" spans="1:31" ht="25.5" x14ac:dyDescent="0.25">
      <c r="A85" s="60" t="s">
        <v>17</v>
      </c>
      <c r="B85" s="84" t="s">
        <v>18</v>
      </c>
      <c r="C85" s="84"/>
      <c r="D85" s="84"/>
      <c r="E85" s="84"/>
      <c r="F85" s="84"/>
      <c r="G85" s="84"/>
      <c r="H85" s="84"/>
      <c r="I85" s="84"/>
      <c r="J85" s="84"/>
      <c r="K85" s="84"/>
      <c r="L85" s="60" t="s">
        <v>19</v>
      </c>
      <c r="M85" s="60" t="s">
        <v>20</v>
      </c>
      <c r="N85" s="18" t="s">
        <v>21</v>
      </c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</row>
    <row r="86" spans="1:31" ht="15.75" thickBot="1" x14ac:dyDescent="0.3">
      <c r="A86" s="49" t="s">
        <v>845</v>
      </c>
      <c r="B86" s="48">
        <f>30.4*7.4</f>
        <v>224.96</v>
      </c>
      <c r="C86" s="48"/>
      <c r="D86" s="48"/>
      <c r="E86" s="48"/>
      <c r="F86" s="48"/>
      <c r="G86" s="48"/>
      <c r="H86" s="48"/>
      <c r="I86" s="48"/>
      <c r="J86" s="48"/>
      <c r="K86" s="48"/>
      <c r="L86" s="48">
        <f t="shared" ref="L86:L92" si="4">IF(B86="","",SUM(B86:K86))</f>
        <v>224.96</v>
      </c>
      <c r="M86" s="36">
        <v>76.190476190476204</v>
      </c>
      <c r="N86" s="21">
        <v>39.299999999999997</v>
      </c>
      <c r="O86" s="45"/>
      <c r="P86" s="85" t="s">
        <v>24</v>
      </c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</row>
    <row r="87" spans="1:31" ht="15.75" thickBot="1" x14ac:dyDescent="0.3">
      <c r="A87" s="49" t="s">
        <v>841</v>
      </c>
      <c r="B87" s="48">
        <f>1.4*9</f>
        <v>12.6</v>
      </c>
      <c r="C87" s="48">
        <f>14.7*1.9</f>
        <v>27.929999999999996</v>
      </c>
      <c r="D87" s="48">
        <f>1.1*1.1</f>
        <v>1.2100000000000002</v>
      </c>
      <c r="E87" s="48">
        <f>1.8*25.3</f>
        <v>45.54</v>
      </c>
      <c r="F87" s="48">
        <f>0.8*1.1</f>
        <v>0.88000000000000012</v>
      </c>
      <c r="G87" s="48"/>
      <c r="H87" s="48"/>
      <c r="I87" s="48"/>
      <c r="J87" s="48"/>
      <c r="K87" s="48"/>
      <c r="L87" s="48">
        <f t="shared" si="4"/>
        <v>88.16</v>
      </c>
      <c r="M87" s="36">
        <v>29.858429858429858</v>
      </c>
      <c r="N87" s="21">
        <v>61.1</v>
      </c>
      <c r="O87" s="45"/>
      <c r="P87" s="86" t="s">
        <v>25</v>
      </c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</row>
    <row r="88" spans="1:31" ht="15.75" thickBot="1" x14ac:dyDescent="0.3">
      <c r="A88" s="49" t="s">
        <v>853</v>
      </c>
      <c r="B88" s="48">
        <v>1.8</v>
      </c>
      <c r="C88" s="48">
        <f>0.9*0.5</f>
        <v>0.45</v>
      </c>
      <c r="D88" s="48"/>
      <c r="E88" s="48"/>
      <c r="F88" s="48"/>
      <c r="G88" s="48"/>
      <c r="H88" s="48"/>
      <c r="I88" s="48"/>
      <c r="J88" s="48"/>
      <c r="K88" s="48"/>
      <c r="L88" s="48">
        <f t="shared" si="4"/>
        <v>2.25</v>
      </c>
      <c r="M88" s="36">
        <v>0.76204023572444624</v>
      </c>
      <c r="N88" s="21">
        <v>8.8000000000000007</v>
      </c>
      <c r="O88" s="45"/>
      <c r="P88" s="87" t="s">
        <v>49</v>
      </c>
      <c r="Q88" s="87"/>
      <c r="R88" s="87"/>
      <c r="S88" s="87"/>
      <c r="T88" s="88" t="s">
        <v>855</v>
      </c>
      <c r="U88" s="88"/>
      <c r="V88" s="88"/>
      <c r="W88" s="88"/>
      <c r="X88" s="22" t="s">
        <v>50</v>
      </c>
      <c r="Y88" s="22"/>
      <c r="Z88" s="45"/>
      <c r="AA88" s="89">
        <v>295.26</v>
      </c>
      <c r="AB88" s="89"/>
      <c r="AC88" s="89"/>
      <c r="AD88" s="89"/>
      <c r="AE88" s="89"/>
    </row>
    <row r="89" spans="1:31" x14ac:dyDescent="0.25">
      <c r="A89" s="49" t="s">
        <v>850</v>
      </c>
      <c r="B89" s="48">
        <v>1</v>
      </c>
      <c r="C89" s="48">
        <v>1</v>
      </c>
      <c r="D89" s="48"/>
      <c r="E89" s="48"/>
      <c r="F89" s="48"/>
      <c r="G89" s="48"/>
      <c r="H89" s="48"/>
      <c r="I89" s="48"/>
      <c r="J89" s="48"/>
      <c r="K89" s="48"/>
      <c r="L89" s="48">
        <f t="shared" si="4"/>
        <v>2</v>
      </c>
      <c r="M89" s="36">
        <v>0.67736909842172999</v>
      </c>
      <c r="N89" s="21">
        <v>28.8</v>
      </c>
      <c r="O89" s="45"/>
      <c r="P89" s="23" t="s">
        <v>26</v>
      </c>
      <c r="Q89" s="81" t="s">
        <v>27</v>
      </c>
      <c r="R89" s="81"/>
      <c r="S89" s="81"/>
      <c r="T89" s="81"/>
      <c r="U89" s="81"/>
      <c r="V89" s="81"/>
      <c r="W89" s="81"/>
      <c r="X89" s="81"/>
      <c r="Y89" s="81"/>
      <c r="Z89" s="81"/>
      <c r="AA89" s="23"/>
      <c r="AB89" s="2"/>
      <c r="AC89" s="28" t="s">
        <v>28</v>
      </c>
      <c r="AD89" s="28" t="s">
        <v>29</v>
      </c>
      <c r="AE89" s="28" t="s">
        <v>30</v>
      </c>
    </row>
    <row r="90" spans="1:31" x14ac:dyDescent="0.25">
      <c r="A90" s="37" t="s">
        <v>842</v>
      </c>
      <c r="B90" s="51">
        <f>3*4.4</f>
        <v>13.200000000000001</v>
      </c>
      <c r="C90" s="51"/>
      <c r="D90" s="51"/>
      <c r="E90" s="48"/>
      <c r="F90" s="48"/>
      <c r="G90" s="48"/>
      <c r="H90" s="48"/>
      <c r="I90" s="48"/>
      <c r="J90" s="48"/>
      <c r="K90" s="48"/>
      <c r="L90" s="48">
        <f t="shared" si="4"/>
        <v>13.200000000000001</v>
      </c>
      <c r="M90" s="36">
        <v>4.470636049583419</v>
      </c>
      <c r="N90" s="21">
        <v>9.1999999999999993</v>
      </c>
      <c r="O90" s="45"/>
      <c r="P90" s="46">
        <v>1</v>
      </c>
      <c r="Q90" s="24">
        <v>61.1</v>
      </c>
      <c r="R90" s="24">
        <v>39.299999999999997</v>
      </c>
      <c r="S90" s="24">
        <v>28.8</v>
      </c>
      <c r="T90" s="24">
        <v>11.6</v>
      </c>
      <c r="U90" s="24">
        <v>5.519999999999996</v>
      </c>
      <c r="V90" s="24">
        <v>5.2799999999999976</v>
      </c>
      <c r="W90" s="24">
        <v>4.9799999999999978</v>
      </c>
      <c r="X90" s="24"/>
      <c r="Y90" s="24"/>
      <c r="Z90" s="24"/>
      <c r="AA90" s="24"/>
      <c r="AB90" s="24"/>
      <c r="AC90" s="9">
        <v>156.57999999999998</v>
      </c>
      <c r="AD90" s="27">
        <v>7</v>
      </c>
      <c r="AE90" s="9">
        <v>74.3</v>
      </c>
    </row>
    <row r="91" spans="1:31" x14ac:dyDescent="0.25">
      <c r="A91" s="49" t="s">
        <v>849</v>
      </c>
      <c r="B91" s="48">
        <f>2.5*1.6</f>
        <v>4</v>
      </c>
      <c r="C91" s="48"/>
      <c r="D91" s="48"/>
      <c r="E91" s="48"/>
      <c r="F91" s="48"/>
      <c r="G91" s="48"/>
      <c r="H91" s="48"/>
      <c r="I91" s="48"/>
      <c r="J91" s="33"/>
      <c r="K91" s="33"/>
      <c r="L91" s="48">
        <f t="shared" si="4"/>
        <v>4</v>
      </c>
      <c r="M91" s="36">
        <v>1.35473819684346</v>
      </c>
      <c r="N91" s="21">
        <v>11.6</v>
      </c>
      <c r="O91" s="45"/>
      <c r="P91" s="46">
        <v>2</v>
      </c>
      <c r="Q91" s="24">
        <v>61.1</v>
      </c>
      <c r="R91" s="24">
        <v>39.299999999999997</v>
      </c>
      <c r="S91" s="24">
        <v>28.8</v>
      </c>
      <c r="T91" s="24">
        <v>11.6</v>
      </c>
      <c r="U91" s="24">
        <v>5.519999999999996</v>
      </c>
      <c r="V91" s="24">
        <v>5.2799999999999976</v>
      </c>
      <c r="W91" s="24">
        <v>2</v>
      </c>
      <c r="X91" s="24"/>
      <c r="Y91" s="24"/>
      <c r="Z91" s="24"/>
      <c r="AA91" s="24"/>
      <c r="AB91" s="24"/>
      <c r="AC91" s="9">
        <v>153.6</v>
      </c>
      <c r="AD91" s="27">
        <v>6</v>
      </c>
      <c r="AE91" s="9">
        <v>75.7</v>
      </c>
    </row>
    <row r="92" spans="1:31" x14ac:dyDescent="0.25">
      <c r="A92" s="49" t="s">
        <v>854</v>
      </c>
      <c r="B92" s="48">
        <v>70.3</v>
      </c>
      <c r="C92" s="48"/>
      <c r="D92" s="48"/>
      <c r="E92" s="51"/>
      <c r="F92" s="48"/>
      <c r="G92" s="48"/>
      <c r="H92" s="48"/>
      <c r="I92" s="48"/>
      <c r="J92" s="33"/>
      <c r="K92" s="33"/>
      <c r="L92" s="48">
        <f t="shared" si="4"/>
        <v>70.3</v>
      </c>
      <c r="M92" s="36">
        <v>23.809523809523807</v>
      </c>
      <c r="N92" s="21">
        <v>8.3000000000000007</v>
      </c>
      <c r="O92" s="45"/>
      <c r="P92" s="46">
        <v>3</v>
      </c>
      <c r="Q92" s="24">
        <v>61.1</v>
      </c>
      <c r="R92" s="24">
        <v>39.299999999999997</v>
      </c>
      <c r="S92" s="24">
        <v>28.8</v>
      </c>
      <c r="T92" s="24">
        <v>11.6</v>
      </c>
      <c r="U92" s="24">
        <v>5.519999999999996</v>
      </c>
      <c r="V92" s="24">
        <v>2</v>
      </c>
      <c r="W92" s="24">
        <v>2</v>
      </c>
      <c r="X92" s="24"/>
      <c r="Y92" s="24"/>
      <c r="Z92" s="24"/>
      <c r="AA92" s="24"/>
      <c r="AB92" s="24"/>
      <c r="AC92" s="9">
        <v>150.32</v>
      </c>
      <c r="AD92" s="27">
        <v>5</v>
      </c>
      <c r="AE92" s="9">
        <v>80</v>
      </c>
    </row>
    <row r="93" spans="1:31" x14ac:dyDescent="0.25">
      <c r="A93" s="46"/>
      <c r="B93" s="47"/>
      <c r="C93" s="47"/>
      <c r="D93" s="47"/>
      <c r="E93" s="48"/>
      <c r="F93" s="48"/>
      <c r="G93" s="48"/>
      <c r="H93" s="48"/>
      <c r="I93" s="48"/>
      <c r="J93" s="33"/>
      <c r="K93" s="33"/>
      <c r="L93" s="48" t="str">
        <f t="shared" ref="L93:L108" si="5">IF(B93="","",SUM(B93:K93))</f>
        <v/>
      </c>
      <c r="M93" s="36" t="s">
        <v>846</v>
      </c>
      <c r="N93" s="21" t="s">
        <v>846</v>
      </c>
      <c r="O93" s="45"/>
      <c r="P93" s="46">
        <v>4</v>
      </c>
      <c r="Q93" s="24">
        <v>61.1</v>
      </c>
      <c r="R93" s="24">
        <v>39.299999999999997</v>
      </c>
      <c r="S93" s="24">
        <v>28.8</v>
      </c>
      <c r="T93" s="24">
        <v>11.6</v>
      </c>
      <c r="U93" s="24">
        <v>2</v>
      </c>
      <c r="V93" s="24">
        <v>2</v>
      </c>
      <c r="W93" s="24">
        <v>2</v>
      </c>
      <c r="X93" s="24"/>
      <c r="Y93" s="24"/>
      <c r="Z93" s="24"/>
      <c r="AA93" s="24"/>
      <c r="AB93" s="24"/>
      <c r="AC93" s="9">
        <v>146.80000000000001</v>
      </c>
      <c r="AD93" s="27">
        <v>4</v>
      </c>
      <c r="AE93" s="9">
        <v>81.599999999999994</v>
      </c>
    </row>
    <row r="94" spans="1:31" x14ac:dyDescent="0.25">
      <c r="A94" s="46"/>
      <c r="B94" s="47"/>
      <c r="C94" s="47"/>
      <c r="D94" s="47"/>
      <c r="E94" s="48"/>
      <c r="F94" s="48"/>
      <c r="G94" s="48"/>
      <c r="H94" s="48"/>
      <c r="I94" s="48"/>
      <c r="J94" s="33"/>
      <c r="K94" s="33"/>
      <c r="L94" s="48" t="str">
        <f t="shared" si="5"/>
        <v/>
      </c>
      <c r="M94" s="36" t="s">
        <v>846</v>
      </c>
      <c r="N94" s="21" t="s">
        <v>846</v>
      </c>
      <c r="O94" s="45"/>
      <c r="P94" s="46">
        <v>5</v>
      </c>
      <c r="Q94" s="24">
        <v>61.1</v>
      </c>
      <c r="R94" s="24">
        <v>39.299999999999997</v>
      </c>
      <c r="S94" s="24">
        <v>28.8</v>
      </c>
      <c r="T94" s="24">
        <v>2</v>
      </c>
      <c r="U94" s="24">
        <v>2</v>
      </c>
      <c r="V94" s="24">
        <v>2</v>
      </c>
      <c r="W94" s="24">
        <v>2</v>
      </c>
      <c r="X94" s="24"/>
      <c r="Y94" s="24"/>
      <c r="Z94" s="24"/>
      <c r="AA94" s="24"/>
      <c r="AB94" s="24"/>
      <c r="AC94" s="9">
        <v>137.20000000000002</v>
      </c>
      <c r="AD94" s="27">
        <v>3</v>
      </c>
      <c r="AE94" s="9">
        <v>82.6</v>
      </c>
    </row>
    <row r="95" spans="1:31" x14ac:dyDescent="0.25">
      <c r="A95" s="46"/>
      <c r="B95" s="47"/>
      <c r="C95" s="47"/>
      <c r="D95" s="47"/>
      <c r="E95" s="48"/>
      <c r="F95" s="48"/>
      <c r="G95" s="48"/>
      <c r="H95" s="48"/>
      <c r="I95" s="48"/>
      <c r="J95" s="33"/>
      <c r="K95" s="33"/>
      <c r="L95" s="48" t="str">
        <f t="shared" si="5"/>
        <v/>
      </c>
      <c r="M95" s="36" t="s">
        <v>846</v>
      </c>
      <c r="N95" s="21" t="s">
        <v>846</v>
      </c>
      <c r="O95" s="45"/>
      <c r="P95" s="46">
        <v>6</v>
      </c>
      <c r="Q95" s="24">
        <v>61.1</v>
      </c>
      <c r="R95" s="24">
        <v>39.299999999999997</v>
      </c>
      <c r="S95" s="24">
        <v>2</v>
      </c>
      <c r="T95" s="24">
        <v>2</v>
      </c>
      <c r="U95" s="24">
        <v>2</v>
      </c>
      <c r="V95" s="24">
        <v>2</v>
      </c>
      <c r="W95" s="24">
        <v>2</v>
      </c>
      <c r="X95" s="24"/>
      <c r="Y95" s="24"/>
      <c r="Z95" s="24"/>
      <c r="AA95" s="24"/>
      <c r="AB95" s="24"/>
      <c r="AC95" s="9">
        <v>110.4</v>
      </c>
      <c r="AD95" s="27">
        <v>2</v>
      </c>
      <c r="AE95" s="9">
        <v>74.400000000000006</v>
      </c>
    </row>
    <row r="96" spans="1:31" x14ac:dyDescent="0.25">
      <c r="A96" s="37"/>
      <c r="B96" s="48"/>
      <c r="C96" s="46"/>
      <c r="D96" s="33"/>
      <c r="E96" s="47"/>
      <c r="F96" s="47"/>
      <c r="G96" s="47"/>
      <c r="H96" s="47"/>
      <c r="I96" s="47"/>
      <c r="J96" s="33"/>
      <c r="K96" s="33"/>
      <c r="L96" s="48" t="str">
        <f t="shared" si="5"/>
        <v/>
      </c>
      <c r="M96" s="36" t="s">
        <v>846</v>
      </c>
      <c r="N96" s="21" t="s">
        <v>846</v>
      </c>
      <c r="O96" s="45"/>
      <c r="P96" s="46">
        <v>7</v>
      </c>
      <c r="Q96" s="24">
        <v>61.1</v>
      </c>
      <c r="R96" s="24">
        <v>2</v>
      </c>
      <c r="S96" s="24">
        <v>2</v>
      </c>
      <c r="T96" s="24">
        <v>2</v>
      </c>
      <c r="U96" s="24">
        <v>2</v>
      </c>
      <c r="V96" s="24">
        <v>2</v>
      </c>
      <c r="W96" s="24">
        <v>2</v>
      </c>
      <c r="X96" s="24"/>
      <c r="Y96" s="24"/>
      <c r="Z96" s="24"/>
      <c r="AA96" s="24"/>
      <c r="AB96" s="24"/>
      <c r="AC96" s="9">
        <v>73.099999999999994</v>
      </c>
      <c r="AD96" s="27">
        <v>1</v>
      </c>
      <c r="AE96" s="9">
        <v>73.099999999999994</v>
      </c>
    </row>
    <row r="97" spans="1:31" x14ac:dyDescent="0.25">
      <c r="A97" s="37"/>
      <c r="B97" s="48"/>
      <c r="C97" s="46"/>
      <c r="D97" s="33"/>
      <c r="E97" s="47"/>
      <c r="F97" s="47"/>
      <c r="G97" s="47"/>
      <c r="H97" s="47"/>
      <c r="I97" s="47"/>
      <c r="J97" s="33"/>
      <c r="K97" s="33"/>
      <c r="L97" s="48" t="str">
        <f t="shared" si="5"/>
        <v/>
      </c>
      <c r="M97" s="36" t="s">
        <v>846</v>
      </c>
      <c r="N97" s="21" t="s">
        <v>846</v>
      </c>
      <c r="O97" s="45"/>
      <c r="P97" s="46">
        <v>8</v>
      </c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9" t="s">
        <v>846</v>
      </c>
      <c r="AD97" s="27"/>
      <c r="AE97" s="9"/>
    </row>
    <row r="98" spans="1:31" x14ac:dyDescent="0.25">
      <c r="A98" s="37"/>
      <c r="B98" s="48"/>
      <c r="C98" s="46"/>
      <c r="D98" s="33"/>
      <c r="E98" s="33"/>
      <c r="F98" s="33"/>
      <c r="G98" s="33"/>
      <c r="H98" s="33"/>
      <c r="I98" s="33"/>
      <c r="J98" s="33"/>
      <c r="K98" s="33"/>
      <c r="L98" s="48" t="str">
        <f t="shared" si="5"/>
        <v/>
      </c>
      <c r="M98" s="36" t="s">
        <v>846</v>
      </c>
      <c r="N98" s="21" t="s">
        <v>846</v>
      </c>
      <c r="O98" s="45"/>
      <c r="P98" s="46">
        <v>9</v>
      </c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9" t="s">
        <v>846</v>
      </c>
      <c r="AD98" s="27"/>
      <c r="AE98" s="9"/>
    </row>
    <row r="99" spans="1:31" x14ac:dyDescent="0.25">
      <c r="A99" s="37"/>
      <c r="B99" s="48"/>
      <c r="C99" s="33"/>
      <c r="D99" s="33"/>
      <c r="E99" s="33"/>
      <c r="F99" s="33"/>
      <c r="G99" s="33"/>
      <c r="H99" s="33"/>
      <c r="I99" s="33"/>
      <c r="J99" s="33"/>
      <c r="K99" s="33"/>
      <c r="L99" s="48" t="str">
        <f t="shared" si="5"/>
        <v/>
      </c>
      <c r="M99" s="36" t="s">
        <v>846</v>
      </c>
      <c r="N99" s="21" t="s">
        <v>846</v>
      </c>
      <c r="O99" s="45"/>
      <c r="P99" s="46">
        <v>10</v>
      </c>
      <c r="Q99" s="24"/>
      <c r="R99" s="24"/>
      <c r="S99" s="25"/>
      <c r="T99" s="25"/>
      <c r="U99" s="25"/>
      <c r="V99" s="25"/>
      <c r="W99" s="25"/>
      <c r="X99" s="25"/>
      <c r="Y99" s="25"/>
      <c r="Z99" s="25"/>
      <c r="AA99" s="25"/>
      <c r="AB99" s="8"/>
      <c r="AC99" s="9" t="s">
        <v>846</v>
      </c>
      <c r="AD99" s="8"/>
      <c r="AE99" s="9"/>
    </row>
    <row r="100" spans="1:31" x14ac:dyDescent="0.25">
      <c r="A100" s="37"/>
      <c r="B100" s="48"/>
      <c r="C100" s="33"/>
      <c r="D100" s="33"/>
      <c r="E100" s="33"/>
      <c r="F100" s="33"/>
      <c r="G100" s="33"/>
      <c r="H100" s="33"/>
      <c r="I100" s="33"/>
      <c r="J100" s="33"/>
      <c r="K100" s="33"/>
      <c r="L100" s="48" t="str">
        <f t="shared" si="5"/>
        <v/>
      </c>
      <c r="M100" s="36" t="s">
        <v>846</v>
      </c>
      <c r="N100" s="21" t="s">
        <v>846</v>
      </c>
      <c r="O100" s="45"/>
      <c r="P100" s="46">
        <v>11</v>
      </c>
      <c r="Q100" s="24"/>
      <c r="R100" s="24"/>
      <c r="S100" s="25"/>
      <c r="T100" s="25"/>
      <c r="U100" s="25"/>
      <c r="V100" s="25"/>
      <c r="W100" s="25"/>
      <c r="X100" s="25"/>
      <c r="Y100" s="25"/>
      <c r="Z100" s="25"/>
      <c r="AA100" s="25"/>
      <c r="AB100" s="8"/>
      <c r="AC100" s="9" t="s">
        <v>846</v>
      </c>
      <c r="AD100" s="8"/>
      <c r="AE100" s="9"/>
    </row>
    <row r="101" spans="1:31" x14ac:dyDescent="0.25">
      <c r="A101" s="37"/>
      <c r="B101" s="48"/>
      <c r="C101" s="33"/>
      <c r="D101" s="33"/>
      <c r="E101" s="33"/>
      <c r="F101" s="33"/>
      <c r="G101" s="33"/>
      <c r="H101" s="33"/>
      <c r="I101" s="33"/>
      <c r="J101" s="33"/>
      <c r="K101" s="33"/>
      <c r="L101" s="48" t="str">
        <f t="shared" si="5"/>
        <v/>
      </c>
      <c r="M101" s="36" t="s">
        <v>846</v>
      </c>
      <c r="N101" s="21" t="s">
        <v>846</v>
      </c>
      <c r="O101" s="45"/>
      <c r="P101" s="46">
        <v>12</v>
      </c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8"/>
      <c r="AC101" s="9" t="s">
        <v>846</v>
      </c>
      <c r="AD101" s="8"/>
      <c r="AE101" s="9"/>
    </row>
    <row r="102" spans="1:31" x14ac:dyDescent="0.25">
      <c r="A102" s="37"/>
      <c r="B102" s="48"/>
      <c r="C102" s="33"/>
      <c r="D102" s="33"/>
      <c r="E102" s="33"/>
      <c r="F102" s="33"/>
      <c r="G102" s="33"/>
      <c r="H102" s="33"/>
      <c r="I102" s="33"/>
      <c r="J102" s="33"/>
      <c r="K102" s="33"/>
      <c r="L102" s="48" t="str">
        <f t="shared" si="5"/>
        <v/>
      </c>
      <c r="M102" s="36" t="s">
        <v>846</v>
      </c>
      <c r="N102" s="21" t="s">
        <v>846</v>
      </c>
      <c r="O102" s="45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6" t="s">
        <v>31</v>
      </c>
      <c r="AC102" s="82">
        <v>82.6</v>
      </c>
      <c r="AD102" s="82"/>
      <c r="AE102" s="82"/>
    </row>
    <row r="103" spans="1:31" x14ac:dyDescent="0.25">
      <c r="A103" s="37"/>
      <c r="B103" s="48"/>
      <c r="C103" s="33"/>
      <c r="D103" s="33"/>
      <c r="E103" s="33"/>
      <c r="F103" s="33"/>
      <c r="G103" s="33"/>
      <c r="H103" s="33"/>
      <c r="I103" s="33"/>
      <c r="J103" s="33"/>
      <c r="K103" s="33"/>
      <c r="L103" s="48" t="str">
        <f t="shared" si="5"/>
        <v/>
      </c>
      <c r="M103" s="36" t="s">
        <v>846</v>
      </c>
      <c r="N103" s="21" t="s">
        <v>846</v>
      </c>
      <c r="O103" s="45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14" t="s">
        <v>32</v>
      </c>
      <c r="AC103" s="82">
        <v>17.400000000000006</v>
      </c>
      <c r="AD103" s="82"/>
      <c r="AE103" s="82"/>
    </row>
    <row r="104" spans="1:31" x14ac:dyDescent="0.25">
      <c r="A104" s="37"/>
      <c r="B104" s="48"/>
      <c r="C104" s="33"/>
      <c r="D104" s="33"/>
      <c r="E104" s="33"/>
      <c r="F104" s="33"/>
      <c r="G104" s="33"/>
      <c r="H104" s="33"/>
      <c r="I104" s="33"/>
      <c r="J104" s="33"/>
      <c r="K104" s="33"/>
      <c r="L104" s="48" t="str">
        <f t="shared" si="5"/>
        <v/>
      </c>
      <c r="M104" s="36" t="s">
        <v>846</v>
      </c>
      <c r="N104" s="21" t="s">
        <v>846</v>
      </c>
      <c r="O104" s="45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14" t="s">
        <v>23</v>
      </c>
      <c r="AC104" s="83" t="s">
        <v>847</v>
      </c>
      <c r="AD104" s="83"/>
      <c r="AE104" s="83"/>
    </row>
    <row r="105" spans="1:31" x14ac:dyDescent="0.25">
      <c r="A105" s="37"/>
      <c r="B105" s="48"/>
      <c r="C105" s="33"/>
      <c r="D105" s="33"/>
      <c r="E105" s="33"/>
      <c r="F105" s="33"/>
      <c r="G105" s="33"/>
      <c r="H105" s="33"/>
      <c r="I105" s="33"/>
      <c r="J105" s="33"/>
      <c r="K105" s="33"/>
      <c r="L105" s="48" t="str">
        <f t="shared" si="5"/>
        <v/>
      </c>
      <c r="M105" s="36" t="s">
        <v>846</v>
      </c>
      <c r="N105" s="21" t="s">
        <v>846</v>
      </c>
      <c r="O105" s="45"/>
      <c r="P105" s="45"/>
      <c r="Q105" s="45"/>
      <c r="R105" s="29"/>
      <c r="S105" s="29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</row>
    <row r="106" spans="1:31" x14ac:dyDescent="0.25">
      <c r="A106" s="37"/>
      <c r="B106" s="48"/>
      <c r="C106" s="33"/>
      <c r="D106" s="33"/>
      <c r="E106" s="33"/>
      <c r="F106" s="33"/>
      <c r="G106" s="33"/>
      <c r="H106" s="33"/>
      <c r="I106" s="33"/>
      <c r="J106" s="33"/>
      <c r="K106" s="33"/>
      <c r="L106" s="48" t="str">
        <f t="shared" si="5"/>
        <v/>
      </c>
      <c r="M106" s="36" t="s">
        <v>846</v>
      </c>
      <c r="N106" s="21" t="s">
        <v>846</v>
      </c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</row>
    <row r="107" spans="1:31" x14ac:dyDescent="0.25">
      <c r="A107" s="37"/>
      <c r="B107" s="48"/>
      <c r="C107" s="33"/>
      <c r="D107" s="33"/>
      <c r="E107" s="33"/>
      <c r="F107" s="33"/>
      <c r="G107" s="33"/>
      <c r="H107" s="33"/>
      <c r="I107" s="33"/>
      <c r="J107" s="33"/>
      <c r="K107" s="33"/>
      <c r="L107" s="48" t="str">
        <f t="shared" si="5"/>
        <v/>
      </c>
      <c r="M107" s="36" t="s">
        <v>846</v>
      </c>
      <c r="N107" s="21" t="s">
        <v>846</v>
      </c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</row>
    <row r="108" spans="1:31" x14ac:dyDescent="0.25">
      <c r="A108" s="37"/>
      <c r="B108" s="48"/>
      <c r="C108" s="33"/>
      <c r="D108" s="33"/>
      <c r="E108" s="33"/>
      <c r="F108" s="33"/>
      <c r="G108" s="33"/>
      <c r="H108" s="33"/>
      <c r="I108" s="33"/>
      <c r="J108" s="33"/>
      <c r="K108" s="33"/>
      <c r="L108" s="48" t="str">
        <f t="shared" si="5"/>
        <v/>
      </c>
      <c r="M108" s="36" t="s">
        <v>846</v>
      </c>
      <c r="N108" s="21" t="s">
        <v>846</v>
      </c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</row>
    <row r="111" spans="1:31" ht="15.75" thickBot="1" x14ac:dyDescent="0.3">
      <c r="A111" s="70" t="s">
        <v>0</v>
      </c>
      <c r="B111" s="70"/>
      <c r="C111" s="70"/>
      <c r="D111" s="70"/>
      <c r="E111" s="70"/>
      <c r="F111" s="70"/>
      <c r="G111" s="70"/>
      <c r="H111" s="70"/>
      <c r="I111" s="70"/>
      <c r="J111" s="67" t="s">
        <v>1</v>
      </c>
      <c r="K111" s="67"/>
      <c r="L111" s="67"/>
      <c r="M111" s="67"/>
      <c r="N111" s="67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45"/>
      <c r="AD111" s="45"/>
      <c r="AE111" s="45"/>
    </row>
    <row r="112" spans="1:31" ht="15.75" thickBot="1" x14ac:dyDescent="0.3">
      <c r="A112" s="71" t="s">
        <v>2</v>
      </c>
      <c r="B112" s="71"/>
      <c r="C112" s="71"/>
      <c r="D112" s="71"/>
      <c r="E112" s="71"/>
      <c r="F112" s="71"/>
      <c r="G112" s="71"/>
      <c r="H112" s="71"/>
      <c r="I112" s="71"/>
      <c r="J112" s="67"/>
      <c r="K112" s="67"/>
      <c r="L112" s="67"/>
      <c r="M112" s="67"/>
      <c r="N112" s="67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45"/>
      <c r="AD112" s="45"/>
      <c r="AE112" s="45"/>
    </row>
    <row r="113" spans="1:31" ht="15.75" thickBot="1" x14ac:dyDescent="0.3">
      <c r="A113" s="72" t="s">
        <v>3</v>
      </c>
      <c r="B113" s="72"/>
      <c r="C113" s="72"/>
      <c r="D113" s="72"/>
      <c r="E113" s="72"/>
      <c r="F113" s="72"/>
      <c r="G113" s="72"/>
      <c r="H113" s="73"/>
      <c r="I113" s="72"/>
      <c r="J113" s="68"/>
      <c r="K113" s="68"/>
      <c r="L113" s="68"/>
      <c r="M113" s="68"/>
      <c r="N113" s="68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45"/>
      <c r="AD113" s="45"/>
      <c r="AE113" s="45"/>
    </row>
    <row r="114" spans="1:31" x14ac:dyDescent="0.25">
      <c r="A114" s="74" t="s">
        <v>22</v>
      </c>
      <c r="B114" s="74"/>
      <c r="C114" s="74"/>
      <c r="D114" s="75" t="s">
        <v>837</v>
      </c>
      <c r="E114" s="75"/>
      <c r="F114" s="75"/>
      <c r="G114" s="76"/>
      <c r="H114" s="40" t="s">
        <v>35</v>
      </c>
      <c r="I114" s="12">
        <v>1</v>
      </c>
      <c r="J114" s="61" t="s">
        <v>33</v>
      </c>
      <c r="K114" s="56">
        <v>8.1</v>
      </c>
      <c r="L114" s="5"/>
      <c r="M114" s="61" t="s">
        <v>36</v>
      </c>
      <c r="N114" s="15">
        <v>43415</v>
      </c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45"/>
      <c r="AD114" s="45"/>
      <c r="AE114" s="45"/>
    </row>
    <row r="115" spans="1:31" x14ac:dyDescent="0.25">
      <c r="A115" s="65" t="s">
        <v>37</v>
      </c>
      <c r="B115" s="65"/>
      <c r="C115" s="65"/>
      <c r="D115" s="77" t="s">
        <v>838</v>
      </c>
      <c r="E115" s="77"/>
      <c r="F115" s="77"/>
      <c r="G115" s="78"/>
      <c r="H115" s="40" t="s">
        <v>38</v>
      </c>
      <c r="I115" s="12">
        <v>1</v>
      </c>
      <c r="J115" s="61" t="s">
        <v>39</v>
      </c>
      <c r="K115" s="58">
        <v>27.8</v>
      </c>
      <c r="L115" s="65" t="s">
        <v>40</v>
      </c>
      <c r="M115" s="65"/>
      <c r="N115" s="55" t="s">
        <v>857</v>
      </c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45"/>
      <c r="AD115" s="45"/>
      <c r="AE115" s="45"/>
    </row>
    <row r="116" spans="1:31" ht="15.75" thickBot="1" x14ac:dyDescent="0.3">
      <c r="A116" s="66" t="s">
        <v>41</v>
      </c>
      <c r="B116" s="66"/>
      <c r="C116" s="66"/>
      <c r="D116" s="79" t="s">
        <v>856</v>
      </c>
      <c r="E116" s="79"/>
      <c r="F116" s="79"/>
      <c r="G116" s="80"/>
      <c r="H116" s="33"/>
      <c r="I116" s="45"/>
      <c r="J116" s="1"/>
      <c r="K116" s="45"/>
      <c r="L116" s="4"/>
      <c r="M116" s="16" t="s">
        <v>42</v>
      </c>
      <c r="N116" s="57">
        <v>225.18</v>
      </c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45"/>
      <c r="AD116" s="45"/>
      <c r="AE116" s="45"/>
    </row>
    <row r="117" spans="1:31" x14ac:dyDescent="0.25">
      <c r="A117" s="64" t="s">
        <v>4</v>
      </c>
      <c r="B117" s="64"/>
      <c r="C117" s="59"/>
      <c r="D117" s="64" t="s">
        <v>833</v>
      </c>
      <c r="E117" s="69"/>
      <c r="F117" s="69"/>
      <c r="G117" s="69"/>
      <c r="H117" s="64" t="s">
        <v>5</v>
      </c>
      <c r="I117" s="69"/>
      <c r="J117" s="64"/>
      <c r="K117" s="69"/>
      <c r="L117" s="69" t="s">
        <v>43</v>
      </c>
      <c r="M117" s="69"/>
      <c r="N117" s="69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45"/>
      <c r="AD117" s="45"/>
      <c r="AE117" s="45"/>
    </row>
    <row r="118" spans="1:31" x14ac:dyDescent="0.25">
      <c r="A118" s="64" t="s">
        <v>6</v>
      </c>
      <c r="B118" s="64"/>
      <c r="C118" s="59"/>
      <c r="D118" s="64" t="s">
        <v>7</v>
      </c>
      <c r="E118" s="64"/>
      <c r="F118" s="64"/>
      <c r="G118" s="64"/>
      <c r="H118" s="64" t="s">
        <v>8</v>
      </c>
      <c r="I118" s="64"/>
      <c r="J118" s="64"/>
      <c r="K118" s="64"/>
      <c r="L118" s="64" t="s">
        <v>44</v>
      </c>
      <c r="M118" s="64"/>
      <c r="N118" s="64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45"/>
      <c r="AD118" s="45"/>
      <c r="AE118" s="45"/>
    </row>
    <row r="119" spans="1:31" x14ac:dyDescent="0.25">
      <c r="A119" s="64" t="s">
        <v>9</v>
      </c>
      <c r="B119" s="64"/>
      <c r="C119" s="59"/>
      <c r="D119" s="64" t="s">
        <v>10</v>
      </c>
      <c r="E119" s="64"/>
      <c r="F119" s="64"/>
      <c r="G119" s="64"/>
      <c r="H119" s="64" t="s">
        <v>11</v>
      </c>
      <c r="I119" s="64"/>
      <c r="J119" s="64"/>
      <c r="K119" s="64"/>
      <c r="L119" s="59" t="s">
        <v>45</v>
      </c>
      <c r="M119" s="59"/>
      <c r="N119" s="59"/>
      <c r="O119" s="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</row>
    <row r="120" spans="1:31" x14ac:dyDescent="0.25">
      <c r="A120" s="3" t="s">
        <v>12</v>
      </c>
      <c r="B120" s="3"/>
      <c r="C120" s="59"/>
      <c r="D120" s="64" t="s">
        <v>13</v>
      </c>
      <c r="E120" s="64"/>
      <c r="F120" s="64"/>
      <c r="G120" s="64"/>
      <c r="H120" s="64" t="s">
        <v>46</v>
      </c>
      <c r="I120" s="64"/>
      <c r="J120" s="64"/>
      <c r="K120" s="64"/>
      <c r="L120" s="59" t="s">
        <v>47</v>
      </c>
      <c r="M120" s="59"/>
      <c r="N120" s="59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</row>
    <row r="121" spans="1:31" x14ac:dyDescent="0.25">
      <c r="A121" s="64" t="s">
        <v>15</v>
      </c>
      <c r="B121" s="64"/>
      <c r="C121" s="59"/>
      <c r="D121" s="64" t="s">
        <v>16</v>
      </c>
      <c r="E121" s="64"/>
      <c r="F121" s="64"/>
      <c r="G121" s="64"/>
      <c r="H121" s="64" t="s">
        <v>48</v>
      </c>
      <c r="I121" s="64"/>
      <c r="J121" s="64"/>
      <c r="K121" s="64"/>
      <c r="L121" s="59" t="s">
        <v>14</v>
      </c>
      <c r="M121" s="59"/>
      <c r="N121" s="59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</row>
    <row r="122" spans="1:31" ht="25.5" x14ac:dyDescent="0.25">
      <c r="A122" s="60" t="s">
        <v>17</v>
      </c>
      <c r="B122" s="84" t="s">
        <v>18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60" t="s">
        <v>19</v>
      </c>
      <c r="M122" s="60" t="s">
        <v>20</v>
      </c>
      <c r="N122" s="18" t="s">
        <v>21</v>
      </c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</row>
    <row r="123" spans="1:31" ht="15.75" thickBot="1" x14ac:dyDescent="0.3">
      <c r="A123" s="49" t="s">
        <v>845</v>
      </c>
      <c r="B123" s="48">
        <v>225.18</v>
      </c>
      <c r="C123" s="48"/>
      <c r="D123" s="48"/>
      <c r="E123" s="48"/>
      <c r="F123" s="48"/>
      <c r="G123" s="48"/>
      <c r="H123" s="48"/>
      <c r="I123" s="48"/>
      <c r="J123" s="48"/>
      <c r="K123" s="48"/>
      <c r="L123" s="48">
        <f t="shared" ref="L123:L129" si="6">IF(B123="","",SUM(B123:K123))</f>
        <v>225.18</v>
      </c>
      <c r="M123" s="36">
        <v>100</v>
      </c>
      <c r="N123" s="21">
        <v>43.1</v>
      </c>
      <c r="O123" s="45"/>
      <c r="P123" s="85" t="s">
        <v>24</v>
      </c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</row>
    <row r="124" spans="1:31" ht="15.75" thickBot="1" x14ac:dyDescent="0.3">
      <c r="A124" s="49" t="s">
        <v>841</v>
      </c>
      <c r="B124" s="48">
        <f>3.7*27.8</f>
        <v>102.86000000000001</v>
      </c>
      <c r="C124" s="48">
        <f>1.4*17</f>
        <v>23.799999999999997</v>
      </c>
      <c r="D124" s="48"/>
      <c r="E124" s="48"/>
      <c r="F124" s="48"/>
      <c r="G124" s="48"/>
      <c r="H124" s="48"/>
      <c r="I124" s="48"/>
      <c r="J124" s="48"/>
      <c r="K124" s="48"/>
      <c r="L124" s="48">
        <f t="shared" si="6"/>
        <v>126.66000000000001</v>
      </c>
      <c r="M124" s="36">
        <v>56.248334665600851</v>
      </c>
      <c r="N124" s="21">
        <v>69.900000000000006</v>
      </c>
      <c r="O124" s="45"/>
      <c r="P124" s="86" t="s">
        <v>25</v>
      </c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</row>
    <row r="125" spans="1:31" ht="15.75" thickBot="1" x14ac:dyDescent="0.3">
      <c r="A125" s="49" t="s">
        <v>851</v>
      </c>
      <c r="B125" s="48">
        <f>2*0.7</f>
        <v>1.4</v>
      </c>
      <c r="C125" s="48"/>
      <c r="D125" s="48"/>
      <c r="E125" s="48"/>
      <c r="F125" s="48"/>
      <c r="G125" s="48"/>
      <c r="H125" s="48"/>
      <c r="I125" s="48"/>
      <c r="J125" s="48"/>
      <c r="K125" s="48"/>
      <c r="L125" s="48">
        <f t="shared" si="6"/>
        <v>1.4</v>
      </c>
      <c r="M125" s="36">
        <v>0.62172484234834346</v>
      </c>
      <c r="N125" s="21">
        <v>15.6</v>
      </c>
      <c r="O125" s="45"/>
      <c r="P125" s="87" t="s">
        <v>49</v>
      </c>
      <c r="Q125" s="87"/>
      <c r="R125" s="87"/>
      <c r="S125" s="87"/>
      <c r="T125" s="88" t="s">
        <v>857</v>
      </c>
      <c r="U125" s="88"/>
      <c r="V125" s="88"/>
      <c r="W125" s="88"/>
      <c r="X125" s="22" t="s">
        <v>50</v>
      </c>
      <c r="Y125" s="22"/>
      <c r="Z125" s="45"/>
      <c r="AA125" s="89">
        <v>225.18</v>
      </c>
      <c r="AB125" s="89"/>
      <c r="AC125" s="89"/>
      <c r="AD125" s="89"/>
      <c r="AE125" s="89"/>
    </row>
    <row r="126" spans="1:31" x14ac:dyDescent="0.25">
      <c r="A126" s="49" t="s">
        <v>858</v>
      </c>
      <c r="B126" s="48">
        <v>2</v>
      </c>
      <c r="C126" s="48"/>
      <c r="D126" s="48"/>
      <c r="E126" s="48"/>
      <c r="F126" s="48"/>
      <c r="G126" s="48"/>
      <c r="H126" s="48"/>
      <c r="I126" s="48"/>
      <c r="J126" s="48"/>
      <c r="K126" s="48"/>
      <c r="L126" s="48">
        <f t="shared" si="6"/>
        <v>2</v>
      </c>
      <c r="M126" s="36">
        <v>0.88817834621191927</v>
      </c>
      <c r="N126" s="21">
        <v>8.6999999999999993</v>
      </c>
      <c r="O126" s="45"/>
      <c r="P126" s="23" t="s">
        <v>26</v>
      </c>
      <c r="Q126" s="81" t="s">
        <v>27</v>
      </c>
      <c r="R126" s="81"/>
      <c r="S126" s="81"/>
      <c r="T126" s="81"/>
      <c r="U126" s="81"/>
      <c r="V126" s="81"/>
      <c r="W126" s="81"/>
      <c r="X126" s="81"/>
      <c r="Y126" s="81"/>
      <c r="Z126" s="81"/>
      <c r="AA126" s="23"/>
      <c r="AB126" s="2"/>
      <c r="AC126" s="28" t="s">
        <v>28</v>
      </c>
      <c r="AD126" s="28" t="s">
        <v>29</v>
      </c>
      <c r="AE126" s="28" t="s">
        <v>30</v>
      </c>
    </row>
    <row r="127" spans="1:31" x14ac:dyDescent="0.25">
      <c r="A127" s="37" t="s">
        <v>849</v>
      </c>
      <c r="B127" s="51">
        <f>1.9*0.8</f>
        <v>1.52</v>
      </c>
      <c r="C127" s="51"/>
      <c r="D127" s="51"/>
      <c r="E127" s="48"/>
      <c r="F127" s="48"/>
      <c r="G127" s="48"/>
      <c r="H127" s="48"/>
      <c r="I127" s="48"/>
      <c r="J127" s="48"/>
      <c r="K127" s="48"/>
      <c r="L127" s="48">
        <f t="shared" si="6"/>
        <v>1.52</v>
      </c>
      <c r="M127" s="36">
        <v>0.67501554312105871</v>
      </c>
      <c r="N127" s="21">
        <v>8.1</v>
      </c>
      <c r="O127" s="45"/>
      <c r="P127" s="46">
        <v>1</v>
      </c>
      <c r="Q127" s="24">
        <v>69.900000000000006</v>
      </c>
      <c r="R127" s="24">
        <v>43.1</v>
      </c>
      <c r="S127" s="24">
        <v>15.6</v>
      </c>
      <c r="T127" s="24">
        <v>6.9599999999999982</v>
      </c>
      <c r="U127" s="24">
        <v>6.4799999999999986</v>
      </c>
      <c r="V127" s="24"/>
      <c r="W127" s="24"/>
      <c r="X127" s="24"/>
      <c r="Y127" s="24"/>
      <c r="Z127" s="24"/>
      <c r="AA127" s="24"/>
      <c r="AB127" s="24"/>
      <c r="AC127" s="9">
        <v>142.04</v>
      </c>
      <c r="AD127" s="27">
        <v>5</v>
      </c>
      <c r="AE127" s="9">
        <v>76.7</v>
      </c>
    </row>
    <row r="128" spans="1:31" x14ac:dyDescent="0.25">
      <c r="A128" s="49"/>
      <c r="B128" s="48"/>
      <c r="C128" s="48"/>
      <c r="D128" s="48"/>
      <c r="E128" s="48"/>
      <c r="F128" s="48"/>
      <c r="G128" s="48"/>
      <c r="H128" s="48"/>
      <c r="I128" s="48"/>
      <c r="J128" s="33"/>
      <c r="K128" s="33"/>
      <c r="L128" s="48" t="str">
        <f t="shared" si="6"/>
        <v/>
      </c>
      <c r="M128" s="36" t="s">
        <v>846</v>
      </c>
      <c r="N128" s="21" t="s">
        <v>846</v>
      </c>
      <c r="O128" s="45"/>
      <c r="P128" s="46">
        <v>2</v>
      </c>
      <c r="Q128" s="24">
        <v>69.900000000000006</v>
      </c>
      <c r="R128" s="24">
        <v>43.1</v>
      </c>
      <c r="S128" s="24">
        <v>15.6</v>
      </c>
      <c r="T128" s="24">
        <v>6.9599999999999982</v>
      </c>
      <c r="U128" s="24">
        <v>2</v>
      </c>
      <c r="V128" s="24"/>
      <c r="W128" s="24"/>
      <c r="X128" s="24"/>
      <c r="Y128" s="24"/>
      <c r="Z128" s="24"/>
      <c r="AA128" s="24"/>
      <c r="AB128" s="24"/>
      <c r="AC128" s="9">
        <v>137.56</v>
      </c>
      <c r="AD128" s="27">
        <v>4</v>
      </c>
      <c r="AE128" s="9">
        <v>77.900000000000006</v>
      </c>
    </row>
    <row r="129" spans="1:31" x14ac:dyDescent="0.25">
      <c r="A129" s="49"/>
      <c r="B129" s="48"/>
      <c r="C129" s="48"/>
      <c r="D129" s="48"/>
      <c r="E129" s="51"/>
      <c r="F129" s="48"/>
      <c r="G129" s="48"/>
      <c r="H129" s="48"/>
      <c r="I129" s="48"/>
      <c r="J129" s="33"/>
      <c r="K129" s="33"/>
      <c r="L129" s="48" t="str">
        <f t="shared" si="6"/>
        <v/>
      </c>
      <c r="M129" s="36" t="s">
        <v>846</v>
      </c>
      <c r="N129" s="21" t="s">
        <v>846</v>
      </c>
      <c r="O129" s="45"/>
      <c r="P129" s="46">
        <v>3</v>
      </c>
      <c r="Q129" s="24">
        <v>69.900000000000006</v>
      </c>
      <c r="R129" s="24">
        <v>43.1</v>
      </c>
      <c r="S129" s="24">
        <v>15.6</v>
      </c>
      <c r="T129" s="24">
        <v>2</v>
      </c>
      <c r="U129" s="24">
        <v>2</v>
      </c>
      <c r="V129" s="24"/>
      <c r="W129" s="24"/>
      <c r="X129" s="24"/>
      <c r="Y129" s="24"/>
      <c r="Z129" s="24"/>
      <c r="AA129" s="24"/>
      <c r="AB129" s="24"/>
      <c r="AC129" s="9">
        <v>132.6</v>
      </c>
      <c r="AD129" s="27">
        <v>3</v>
      </c>
      <c r="AE129" s="9">
        <v>80.400000000000006</v>
      </c>
    </row>
    <row r="130" spans="1:31" x14ac:dyDescent="0.25">
      <c r="A130" s="46"/>
      <c r="B130" s="47"/>
      <c r="C130" s="47"/>
      <c r="D130" s="47"/>
      <c r="E130" s="48"/>
      <c r="F130" s="48"/>
      <c r="G130" s="48"/>
      <c r="H130" s="48"/>
      <c r="I130" s="48"/>
      <c r="J130" s="33"/>
      <c r="K130" s="33"/>
      <c r="L130" s="48" t="str">
        <f t="shared" ref="L130:L145" si="7">IF(B130="","",SUM(B130:K130))</f>
        <v/>
      </c>
      <c r="M130" s="36" t="s">
        <v>846</v>
      </c>
      <c r="N130" s="21" t="s">
        <v>846</v>
      </c>
      <c r="O130" s="45"/>
      <c r="P130" s="46">
        <v>4</v>
      </c>
      <c r="Q130" s="24">
        <v>69.900000000000006</v>
      </c>
      <c r="R130" s="24">
        <v>43.1</v>
      </c>
      <c r="S130" s="24">
        <v>2</v>
      </c>
      <c r="T130" s="24">
        <v>2</v>
      </c>
      <c r="U130" s="24">
        <v>2</v>
      </c>
      <c r="V130" s="24"/>
      <c r="W130" s="24"/>
      <c r="X130" s="24"/>
      <c r="Y130" s="24"/>
      <c r="Z130" s="24"/>
      <c r="AA130" s="24"/>
      <c r="AB130" s="24"/>
      <c r="AC130" s="9">
        <v>119</v>
      </c>
      <c r="AD130" s="27">
        <v>2</v>
      </c>
      <c r="AE130" s="9">
        <v>79.099999999999994</v>
      </c>
    </row>
    <row r="131" spans="1:31" x14ac:dyDescent="0.25">
      <c r="A131" s="46"/>
      <c r="B131" s="47"/>
      <c r="C131" s="47"/>
      <c r="D131" s="47"/>
      <c r="E131" s="48"/>
      <c r="F131" s="48"/>
      <c r="G131" s="48"/>
      <c r="H131" s="48"/>
      <c r="I131" s="48"/>
      <c r="J131" s="33"/>
      <c r="K131" s="33"/>
      <c r="L131" s="48" t="str">
        <f t="shared" si="7"/>
        <v/>
      </c>
      <c r="M131" s="36" t="s">
        <v>846</v>
      </c>
      <c r="N131" s="21" t="s">
        <v>846</v>
      </c>
      <c r="O131" s="45"/>
      <c r="P131" s="46">
        <v>5</v>
      </c>
      <c r="Q131" s="24">
        <v>69.900000000000006</v>
      </c>
      <c r="R131" s="24">
        <v>2</v>
      </c>
      <c r="S131" s="24">
        <v>2</v>
      </c>
      <c r="T131" s="24">
        <v>2</v>
      </c>
      <c r="U131" s="24">
        <v>2</v>
      </c>
      <c r="V131" s="24"/>
      <c r="W131" s="24"/>
      <c r="X131" s="24"/>
      <c r="Y131" s="24"/>
      <c r="Z131" s="24"/>
      <c r="AA131" s="24"/>
      <c r="AB131" s="24"/>
      <c r="AC131" s="9">
        <v>77.900000000000006</v>
      </c>
      <c r="AD131" s="27">
        <v>1</v>
      </c>
      <c r="AE131" s="9">
        <v>77.900000000000006</v>
      </c>
    </row>
    <row r="132" spans="1:31" x14ac:dyDescent="0.25">
      <c r="A132" s="46"/>
      <c r="B132" s="47"/>
      <c r="C132" s="47"/>
      <c r="D132" s="47"/>
      <c r="E132" s="48"/>
      <c r="F132" s="48"/>
      <c r="G132" s="48"/>
      <c r="H132" s="48"/>
      <c r="I132" s="48"/>
      <c r="J132" s="33"/>
      <c r="K132" s="33"/>
      <c r="L132" s="48" t="str">
        <f t="shared" si="7"/>
        <v/>
      </c>
      <c r="M132" s="36" t="s">
        <v>846</v>
      </c>
      <c r="N132" s="21" t="s">
        <v>846</v>
      </c>
      <c r="O132" s="45"/>
      <c r="P132" s="46">
        <v>6</v>
      </c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9" t="s">
        <v>846</v>
      </c>
      <c r="AD132" s="27"/>
      <c r="AE132" s="9"/>
    </row>
    <row r="133" spans="1:31" x14ac:dyDescent="0.25">
      <c r="A133" s="37"/>
      <c r="B133" s="48"/>
      <c r="C133" s="46"/>
      <c r="D133" s="33"/>
      <c r="E133" s="47"/>
      <c r="F133" s="47"/>
      <c r="G133" s="47"/>
      <c r="H133" s="47"/>
      <c r="I133" s="47"/>
      <c r="J133" s="33"/>
      <c r="K133" s="33"/>
      <c r="L133" s="48" t="str">
        <f t="shared" si="7"/>
        <v/>
      </c>
      <c r="M133" s="36" t="s">
        <v>846</v>
      </c>
      <c r="N133" s="21" t="s">
        <v>846</v>
      </c>
      <c r="O133" s="45"/>
      <c r="P133" s="46">
        <v>7</v>
      </c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9" t="s">
        <v>846</v>
      </c>
      <c r="AD133" s="27"/>
      <c r="AE133" s="9"/>
    </row>
    <row r="134" spans="1:31" x14ac:dyDescent="0.25">
      <c r="A134" s="37"/>
      <c r="B134" s="48"/>
      <c r="C134" s="46"/>
      <c r="D134" s="33"/>
      <c r="E134" s="47"/>
      <c r="F134" s="47"/>
      <c r="G134" s="47"/>
      <c r="H134" s="47"/>
      <c r="I134" s="47"/>
      <c r="J134" s="33"/>
      <c r="K134" s="33"/>
      <c r="L134" s="48" t="str">
        <f t="shared" si="7"/>
        <v/>
      </c>
      <c r="M134" s="36" t="s">
        <v>846</v>
      </c>
      <c r="N134" s="21" t="s">
        <v>846</v>
      </c>
      <c r="O134" s="45"/>
      <c r="P134" s="46">
        <v>8</v>
      </c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9" t="s">
        <v>846</v>
      </c>
      <c r="AD134" s="27"/>
      <c r="AE134" s="9"/>
    </row>
    <row r="135" spans="1:31" x14ac:dyDescent="0.25">
      <c r="A135" s="37"/>
      <c r="B135" s="48"/>
      <c r="C135" s="46"/>
      <c r="D135" s="33"/>
      <c r="E135" s="33"/>
      <c r="F135" s="33"/>
      <c r="G135" s="33"/>
      <c r="H135" s="33"/>
      <c r="I135" s="33"/>
      <c r="J135" s="33"/>
      <c r="K135" s="33"/>
      <c r="L135" s="48" t="str">
        <f t="shared" si="7"/>
        <v/>
      </c>
      <c r="M135" s="36" t="s">
        <v>846</v>
      </c>
      <c r="N135" s="21" t="s">
        <v>846</v>
      </c>
      <c r="O135" s="45"/>
      <c r="P135" s="46">
        <v>9</v>
      </c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9" t="s">
        <v>846</v>
      </c>
      <c r="AD135" s="27"/>
      <c r="AE135" s="9"/>
    </row>
    <row r="136" spans="1:31" x14ac:dyDescent="0.25">
      <c r="A136" s="37"/>
      <c r="B136" s="48"/>
      <c r="C136" s="33"/>
      <c r="D136" s="33"/>
      <c r="E136" s="33"/>
      <c r="F136" s="33"/>
      <c r="G136" s="33"/>
      <c r="H136" s="33"/>
      <c r="I136" s="33"/>
      <c r="J136" s="33"/>
      <c r="K136" s="33"/>
      <c r="L136" s="48" t="str">
        <f t="shared" si="7"/>
        <v/>
      </c>
      <c r="M136" s="36" t="s">
        <v>846</v>
      </c>
      <c r="N136" s="21" t="s">
        <v>846</v>
      </c>
      <c r="O136" s="45"/>
      <c r="P136" s="46">
        <v>10</v>
      </c>
      <c r="Q136" s="24"/>
      <c r="R136" s="24"/>
      <c r="S136" s="25"/>
      <c r="T136" s="25"/>
      <c r="U136" s="25"/>
      <c r="V136" s="25"/>
      <c r="W136" s="25"/>
      <c r="X136" s="25"/>
      <c r="Y136" s="25"/>
      <c r="Z136" s="25"/>
      <c r="AA136" s="25"/>
      <c r="AB136" s="8"/>
      <c r="AC136" s="9" t="s">
        <v>846</v>
      </c>
      <c r="AD136" s="8"/>
      <c r="AE136" s="9"/>
    </row>
    <row r="137" spans="1:31" x14ac:dyDescent="0.25">
      <c r="A137" s="37"/>
      <c r="B137" s="48"/>
      <c r="C137" s="33"/>
      <c r="D137" s="33"/>
      <c r="E137" s="33"/>
      <c r="F137" s="33"/>
      <c r="G137" s="33"/>
      <c r="H137" s="33"/>
      <c r="I137" s="33"/>
      <c r="J137" s="33"/>
      <c r="K137" s="33"/>
      <c r="L137" s="48" t="str">
        <f t="shared" si="7"/>
        <v/>
      </c>
      <c r="M137" s="36" t="s">
        <v>846</v>
      </c>
      <c r="N137" s="21" t="s">
        <v>846</v>
      </c>
      <c r="O137" s="45"/>
      <c r="P137" s="46">
        <v>11</v>
      </c>
      <c r="Q137" s="24"/>
      <c r="R137" s="24"/>
      <c r="S137" s="25"/>
      <c r="T137" s="25"/>
      <c r="U137" s="25"/>
      <c r="V137" s="25"/>
      <c r="W137" s="25"/>
      <c r="X137" s="25"/>
      <c r="Y137" s="25"/>
      <c r="Z137" s="25"/>
      <c r="AA137" s="25"/>
      <c r="AB137" s="8"/>
      <c r="AC137" s="9" t="s">
        <v>846</v>
      </c>
      <c r="AD137" s="8"/>
      <c r="AE137" s="9"/>
    </row>
    <row r="138" spans="1:31" x14ac:dyDescent="0.25">
      <c r="A138" s="37"/>
      <c r="B138" s="48"/>
      <c r="C138" s="33"/>
      <c r="D138" s="33"/>
      <c r="E138" s="33"/>
      <c r="F138" s="33"/>
      <c r="G138" s="33"/>
      <c r="H138" s="33"/>
      <c r="I138" s="33"/>
      <c r="J138" s="33"/>
      <c r="K138" s="33"/>
      <c r="L138" s="48" t="str">
        <f t="shared" si="7"/>
        <v/>
      </c>
      <c r="M138" s="36" t="s">
        <v>846</v>
      </c>
      <c r="N138" s="21" t="s">
        <v>846</v>
      </c>
      <c r="O138" s="45"/>
      <c r="P138" s="46">
        <v>12</v>
      </c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8"/>
      <c r="AC138" s="9" t="s">
        <v>846</v>
      </c>
      <c r="AD138" s="8"/>
      <c r="AE138" s="9"/>
    </row>
    <row r="139" spans="1:31" x14ac:dyDescent="0.25">
      <c r="A139" s="37"/>
      <c r="B139" s="48"/>
      <c r="C139" s="33"/>
      <c r="D139" s="33"/>
      <c r="E139" s="33"/>
      <c r="F139" s="33"/>
      <c r="G139" s="33"/>
      <c r="H139" s="33"/>
      <c r="I139" s="33"/>
      <c r="J139" s="33"/>
      <c r="K139" s="33"/>
      <c r="L139" s="48" t="str">
        <f t="shared" si="7"/>
        <v/>
      </c>
      <c r="M139" s="36" t="s">
        <v>846</v>
      </c>
      <c r="N139" s="21" t="s">
        <v>846</v>
      </c>
      <c r="O139" s="45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6" t="s">
        <v>31</v>
      </c>
      <c r="AC139" s="82">
        <v>80.400000000000006</v>
      </c>
      <c r="AD139" s="82"/>
      <c r="AE139" s="82"/>
    </row>
    <row r="140" spans="1:31" x14ac:dyDescent="0.25">
      <c r="A140" s="37"/>
      <c r="B140" s="48"/>
      <c r="C140" s="33"/>
      <c r="D140" s="33"/>
      <c r="E140" s="33"/>
      <c r="F140" s="33"/>
      <c r="G140" s="33"/>
      <c r="H140" s="33"/>
      <c r="I140" s="33"/>
      <c r="J140" s="33"/>
      <c r="K140" s="33"/>
      <c r="L140" s="48" t="str">
        <f t="shared" si="7"/>
        <v/>
      </c>
      <c r="M140" s="36" t="s">
        <v>846</v>
      </c>
      <c r="N140" s="21" t="s">
        <v>846</v>
      </c>
      <c r="O140" s="45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14" t="s">
        <v>32</v>
      </c>
      <c r="AC140" s="82">
        <v>19.599999999999994</v>
      </c>
      <c r="AD140" s="82"/>
      <c r="AE140" s="82"/>
    </row>
    <row r="141" spans="1:31" x14ac:dyDescent="0.25">
      <c r="A141" s="37"/>
      <c r="B141" s="48"/>
      <c r="C141" s="33"/>
      <c r="D141" s="33"/>
      <c r="E141" s="33"/>
      <c r="F141" s="33"/>
      <c r="G141" s="33"/>
      <c r="H141" s="33"/>
      <c r="I141" s="33"/>
      <c r="J141" s="33"/>
      <c r="K141" s="33"/>
      <c r="L141" s="48" t="str">
        <f t="shared" si="7"/>
        <v/>
      </c>
      <c r="M141" s="36" t="s">
        <v>846</v>
      </c>
      <c r="N141" s="21" t="s">
        <v>846</v>
      </c>
      <c r="O141" s="45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14" t="s">
        <v>23</v>
      </c>
      <c r="AC141" s="83" t="s">
        <v>847</v>
      </c>
      <c r="AD141" s="83"/>
      <c r="AE141" s="83"/>
    </row>
    <row r="142" spans="1:31" x14ac:dyDescent="0.25">
      <c r="A142" s="37"/>
      <c r="B142" s="48"/>
      <c r="C142" s="33"/>
      <c r="D142" s="33"/>
      <c r="E142" s="33"/>
      <c r="F142" s="33"/>
      <c r="G142" s="33"/>
      <c r="H142" s="33"/>
      <c r="I142" s="33"/>
      <c r="J142" s="33"/>
      <c r="K142" s="33"/>
      <c r="L142" s="48" t="str">
        <f t="shared" si="7"/>
        <v/>
      </c>
      <c r="M142" s="36" t="s">
        <v>846</v>
      </c>
      <c r="N142" s="21" t="s">
        <v>846</v>
      </c>
      <c r="O142" s="45"/>
      <c r="P142" s="45"/>
      <c r="Q142" s="45"/>
      <c r="R142" s="29"/>
      <c r="S142" s="29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</row>
    <row r="143" spans="1:31" x14ac:dyDescent="0.25">
      <c r="A143" s="37"/>
      <c r="B143" s="48"/>
      <c r="C143" s="33"/>
      <c r="D143" s="33"/>
      <c r="E143" s="33"/>
      <c r="F143" s="33"/>
      <c r="G143" s="33"/>
      <c r="H143" s="33"/>
      <c r="I143" s="33"/>
      <c r="J143" s="33"/>
      <c r="K143" s="33"/>
      <c r="L143" s="48" t="str">
        <f t="shared" si="7"/>
        <v/>
      </c>
      <c r="M143" s="36" t="s">
        <v>846</v>
      </c>
      <c r="N143" s="21" t="s">
        <v>846</v>
      </c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</row>
    <row r="144" spans="1:31" x14ac:dyDescent="0.25">
      <c r="A144" s="37"/>
      <c r="B144" s="48"/>
      <c r="C144" s="33"/>
      <c r="D144" s="33"/>
      <c r="E144" s="33"/>
      <c r="F144" s="33"/>
      <c r="G144" s="33"/>
      <c r="H144" s="33"/>
      <c r="I144" s="33"/>
      <c r="J144" s="33"/>
      <c r="K144" s="33"/>
      <c r="L144" s="48" t="str">
        <f t="shared" si="7"/>
        <v/>
      </c>
      <c r="M144" s="36" t="s">
        <v>846</v>
      </c>
      <c r="N144" s="21" t="s">
        <v>846</v>
      </c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</row>
    <row r="145" spans="1:31" x14ac:dyDescent="0.25">
      <c r="A145" s="37"/>
      <c r="B145" s="48"/>
      <c r="C145" s="33"/>
      <c r="D145" s="33"/>
      <c r="E145" s="33"/>
      <c r="F145" s="33"/>
      <c r="G145" s="33"/>
      <c r="H145" s="33"/>
      <c r="I145" s="33"/>
      <c r="J145" s="33"/>
      <c r="K145" s="33"/>
      <c r="L145" s="48" t="str">
        <f t="shared" si="7"/>
        <v/>
      </c>
      <c r="M145" s="36" t="s">
        <v>846</v>
      </c>
      <c r="N145" s="21" t="s">
        <v>846</v>
      </c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</row>
    <row r="148" spans="1:31" ht="15.75" thickBot="1" x14ac:dyDescent="0.3">
      <c r="A148" s="70" t="s">
        <v>0</v>
      </c>
      <c r="B148" s="70"/>
      <c r="C148" s="70"/>
      <c r="D148" s="70"/>
      <c r="E148" s="70"/>
      <c r="F148" s="70"/>
      <c r="G148" s="70"/>
      <c r="H148" s="70"/>
      <c r="I148" s="70"/>
      <c r="J148" s="67" t="s">
        <v>1</v>
      </c>
      <c r="K148" s="67"/>
      <c r="L148" s="67"/>
      <c r="M148" s="67"/>
      <c r="N148" s="67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45"/>
      <c r="AD148" s="45"/>
      <c r="AE148" s="45"/>
    </row>
    <row r="149" spans="1:31" ht="15.75" thickBot="1" x14ac:dyDescent="0.3">
      <c r="A149" s="71" t="s">
        <v>2</v>
      </c>
      <c r="B149" s="71"/>
      <c r="C149" s="71"/>
      <c r="D149" s="71"/>
      <c r="E149" s="71"/>
      <c r="F149" s="71"/>
      <c r="G149" s="71"/>
      <c r="H149" s="71"/>
      <c r="I149" s="71"/>
      <c r="J149" s="67"/>
      <c r="K149" s="67"/>
      <c r="L149" s="67"/>
      <c r="M149" s="67"/>
      <c r="N149" s="67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45"/>
      <c r="AD149" s="45"/>
      <c r="AE149" s="45"/>
    </row>
    <row r="150" spans="1:31" ht="15.75" thickBot="1" x14ac:dyDescent="0.3">
      <c r="A150" s="72" t="s">
        <v>3</v>
      </c>
      <c r="B150" s="72"/>
      <c r="C150" s="72"/>
      <c r="D150" s="72"/>
      <c r="E150" s="72"/>
      <c r="F150" s="72"/>
      <c r="G150" s="72"/>
      <c r="H150" s="73"/>
      <c r="I150" s="72"/>
      <c r="J150" s="68"/>
      <c r="K150" s="68"/>
      <c r="L150" s="68"/>
      <c r="M150" s="68"/>
      <c r="N150" s="68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45"/>
      <c r="AD150" s="45"/>
      <c r="AE150" s="45"/>
    </row>
    <row r="151" spans="1:31" x14ac:dyDescent="0.25">
      <c r="A151" s="74" t="s">
        <v>22</v>
      </c>
      <c r="B151" s="74"/>
      <c r="C151" s="74"/>
      <c r="D151" s="75" t="s">
        <v>837</v>
      </c>
      <c r="E151" s="75"/>
      <c r="F151" s="75"/>
      <c r="G151" s="76"/>
      <c r="H151" s="40" t="s">
        <v>35</v>
      </c>
      <c r="I151" s="12">
        <v>1</v>
      </c>
      <c r="J151" s="61" t="s">
        <v>33</v>
      </c>
      <c r="K151" s="56">
        <v>8.1</v>
      </c>
      <c r="L151" s="5"/>
      <c r="M151" s="61" t="s">
        <v>36</v>
      </c>
      <c r="N151" s="15">
        <v>43415</v>
      </c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45"/>
      <c r="AD151" s="45"/>
      <c r="AE151" s="45"/>
    </row>
    <row r="152" spans="1:31" x14ac:dyDescent="0.25">
      <c r="A152" s="65" t="s">
        <v>37</v>
      </c>
      <c r="B152" s="65"/>
      <c r="C152" s="65"/>
      <c r="D152" s="77" t="s">
        <v>838</v>
      </c>
      <c r="E152" s="77"/>
      <c r="F152" s="77"/>
      <c r="G152" s="78"/>
      <c r="H152" s="40" t="s">
        <v>38</v>
      </c>
      <c r="I152" s="12">
        <v>1</v>
      </c>
      <c r="J152" s="61" t="s">
        <v>39</v>
      </c>
      <c r="K152" s="58">
        <v>27.8</v>
      </c>
      <c r="L152" s="65" t="s">
        <v>40</v>
      </c>
      <c r="M152" s="65"/>
      <c r="N152" s="55" t="s">
        <v>859</v>
      </c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45"/>
      <c r="AD152" s="45"/>
      <c r="AE152" s="45"/>
    </row>
    <row r="153" spans="1:31" ht="15.75" thickBot="1" x14ac:dyDescent="0.3">
      <c r="A153" s="66" t="s">
        <v>41</v>
      </c>
      <c r="B153" s="66"/>
      <c r="C153" s="66"/>
      <c r="D153" s="79" t="s">
        <v>856</v>
      </c>
      <c r="E153" s="79"/>
      <c r="F153" s="79"/>
      <c r="G153" s="80"/>
      <c r="H153" s="33"/>
      <c r="I153" s="45"/>
      <c r="J153" s="1"/>
      <c r="K153" s="45"/>
      <c r="L153" s="4"/>
      <c r="M153" s="16" t="s">
        <v>42</v>
      </c>
      <c r="N153" s="57">
        <v>225.18</v>
      </c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45"/>
      <c r="AD153" s="45"/>
      <c r="AE153" s="45"/>
    </row>
    <row r="154" spans="1:31" x14ac:dyDescent="0.25">
      <c r="A154" s="64" t="s">
        <v>4</v>
      </c>
      <c r="B154" s="64"/>
      <c r="C154" s="59"/>
      <c r="D154" s="64" t="s">
        <v>833</v>
      </c>
      <c r="E154" s="69"/>
      <c r="F154" s="69"/>
      <c r="G154" s="69"/>
      <c r="H154" s="64" t="s">
        <v>5</v>
      </c>
      <c r="I154" s="69"/>
      <c r="J154" s="64"/>
      <c r="K154" s="69"/>
      <c r="L154" s="69" t="s">
        <v>43</v>
      </c>
      <c r="M154" s="69"/>
      <c r="N154" s="69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45"/>
      <c r="AD154" s="45"/>
      <c r="AE154" s="45"/>
    </row>
    <row r="155" spans="1:31" x14ac:dyDescent="0.25">
      <c r="A155" s="64" t="s">
        <v>6</v>
      </c>
      <c r="B155" s="64"/>
      <c r="C155" s="59"/>
      <c r="D155" s="64" t="s">
        <v>7</v>
      </c>
      <c r="E155" s="64"/>
      <c r="F155" s="64"/>
      <c r="G155" s="64"/>
      <c r="H155" s="64" t="s">
        <v>8</v>
      </c>
      <c r="I155" s="64"/>
      <c r="J155" s="64"/>
      <c r="K155" s="64"/>
      <c r="L155" s="64" t="s">
        <v>44</v>
      </c>
      <c r="M155" s="64"/>
      <c r="N155" s="64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45"/>
      <c r="AD155" s="45"/>
      <c r="AE155" s="45"/>
    </row>
    <row r="156" spans="1:31" x14ac:dyDescent="0.25">
      <c r="A156" s="64" t="s">
        <v>9</v>
      </c>
      <c r="B156" s="64"/>
      <c r="C156" s="59"/>
      <c r="D156" s="64" t="s">
        <v>10</v>
      </c>
      <c r="E156" s="64"/>
      <c r="F156" s="64"/>
      <c r="G156" s="64"/>
      <c r="H156" s="64" t="s">
        <v>11</v>
      </c>
      <c r="I156" s="64"/>
      <c r="J156" s="64"/>
      <c r="K156" s="64"/>
      <c r="L156" s="59" t="s">
        <v>45</v>
      </c>
      <c r="M156" s="59"/>
      <c r="N156" s="59"/>
      <c r="O156" s="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</row>
    <row r="157" spans="1:31" x14ac:dyDescent="0.25">
      <c r="A157" s="3" t="s">
        <v>12</v>
      </c>
      <c r="B157" s="3"/>
      <c r="C157" s="59"/>
      <c r="D157" s="64" t="s">
        <v>13</v>
      </c>
      <c r="E157" s="64"/>
      <c r="F157" s="64"/>
      <c r="G157" s="64"/>
      <c r="H157" s="64" t="s">
        <v>46</v>
      </c>
      <c r="I157" s="64"/>
      <c r="J157" s="64"/>
      <c r="K157" s="64"/>
      <c r="L157" s="59" t="s">
        <v>47</v>
      </c>
      <c r="M157" s="59"/>
      <c r="N157" s="59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</row>
    <row r="158" spans="1:31" x14ac:dyDescent="0.25">
      <c r="A158" s="64" t="s">
        <v>15</v>
      </c>
      <c r="B158" s="64"/>
      <c r="C158" s="59"/>
      <c r="D158" s="64" t="s">
        <v>16</v>
      </c>
      <c r="E158" s="64"/>
      <c r="F158" s="64"/>
      <c r="G158" s="64"/>
      <c r="H158" s="64" t="s">
        <v>48</v>
      </c>
      <c r="I158" s="64"/>
      <c r="J158" s="64"/>
      <c r="K158" s="64"/>
      <c r="L158" s="59" t="s">
        <v>14</v>
      </c>
      <c r="M158" s="59"/>
      <c r="N158" s="59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</row>
    <row r="159" spans="1:31" ht="25.5" x14ac:dyDescent="0.25">
      <c r="A159" s="60" t="s">
        <v>17</v>
      </c>
      <c r="B159" s="84" t="s">
        <v>18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60" t="s">
        <v>19</v>
      </c>
      <c r="M159" s="60" t="s">
        <v>20</v>
      </c>
      <c r="N159" s="18" t="s">
        <v>21</v>
      </c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</row>
    <row r="160" spans="1:31" ht="15.75" thickBot="1" x14ac:dyDescent="0.3">
      <c r="A160" s="49" t="s">
        <v>841</v>
      </c>
      <c r="B160" s="48">
        <f>27.8*4.2</f>
        <v>116.76</v>
      </c>
      <c r="C160" s="48">
        <v>2.6</v>
      </c>
      <c r="D160" s="48"/>
      <c r="E160" s="48"/>
      <c r="F160" s="48"/>
      <c r="G160" s="48"/>
      <c r="H160" s="48"/>
      <c r="I160" s="48"/>
      <c r="J160" s="48"/>
      <c r="K160" s="48"/>
      <c r="L160" s="48">
        <f t="shared" ref="L160:L166" si="8">IF(B160="","",SUM(B160:K160))</f>
        <v>119.36</v>
      </c>
      <c r="M160" s="36">
        <v>53.006483701927344</v>
      </c>
      <c r="N160" s="21">
        <v>69.099999999999994</v>
      </c>
      <c r="O160" s="45"/>
      <c r="P160" s="85" t="s">
        <v>24</v>
      </c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</row>
    <row r="161" spans="1:31" ht="15.75" thickBot="1" x14ac:dyDescent="0.3">
      <c r="A161" s="49" t="s">
        <v>843</v>
      </c>
      <c r="B161" s="48">
        <v>1</v>
      </c>
      <c r="C161" s="48">
        <v>1</v>
      </c>
      <c r="D161" s="48"/>
      <c r="E161" s="48"/>
      <c r="F161" s="48"/>
      <c r="G161" s="48"/>
      <c r="H161" s="48"/>
      <c r="I161" s="48"/>
      <c r="J161" s="48"/>
      <c r="K161" s="48"/>
      <c r="L161" s="48">
        <f t="shared" si="8"/>
        <v>2</v>
      </c>
      <c r="M161" s="36">
        <v>0.88817834621191927</v>
      </c>
      <c r="N161" s="21">
        <v>54</v>
      </c>
      <c r="O161" s="45"/>
      <c r="P161" s="86" t="s">
        <v>25</v>
      </c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</row>
    <row r="162" spans="1:31" ht="15.75" thickBot="1" x14ac:dyDescent="0.3">
      <c r="A162" s="49" t="s">
        <v>851</v>
      </c>
      <c r="B162" s="48">
        <f>0.6*0.6</f>
        <v>0.36</v>
      </c>
      <c r="C162" s="48">
        <f>1.2*1.2</f>
        <v>1.44</v>
      </c>
      <c r="D162" s="48"/>
      <c r="E162" s="48"/>
      <c r="F162" s="48"/>
      <c r="G162" s="48"/>
      <c r="H162" s="48"/>
      <c r="I162" s="48"/>
      <c r="J162" s="48"/>
      <c r="K162" s="48"/>
      <c r="L162" s="48">
        <f t="shared" si="8"/>
        <v>1.7999999999999998</v>
      </c>
      <c r="M162" s="36">
        <v>0.7993605115907273</v>
      </c>
      <c r="N162" s="21">
        <v>17.399999999999999</v>
      </c>
      <c r="O162" s="45"/>
      <c r="P162" s="87" t="s">
        <v>49</v>
      </c>
      <c r="Q162" s="87"/>
      <c r="R162" s="87"/>
      <c r="S162" s="87"/>
      <c r="T162" s="88" t="s">
        <v>859</v>
      </c>
      <c r="U162" s="88"/>
      <c r="V162" s="88"/>
      <c r="W162" s="88"/>
      <c r="X162" s="22" t="s">
        <v>50</v>
      </c>
      <c r="Y162" s="22"/>
      <c r="Z162" s="45"/>
      <c r="AA162" s="89">
        <v>225.18</v>
      </c>
      <c r="AB162" s="89"/>
      <c r="AC162" s="89"/>
      <c r="AD162" s="89"/>
      <c r="AE162" s="89"/>
    </row>
    <row r="163" spans="1:31" x14ac:dyDescent="0.25">
      <c r="A163" s="49" t="s">
        <v>860</v>
      </c>
      <c r="B163" s="48">
        <v>1.4</v>
      </c>
      <c r="C163" s="48"/>
      <c r="D163" s="48"/>
      <c r="E163" s="48"/>
      <c r="F163" s="48"/>
      <c r="G163" s="48"/>
      <c r="H163" s="48"/>
      <c r="I163" s="48"/>
      <c r="J163" s="48"/>
      <c r="K163" s="48"/>
      <c r="L163" s="48">
        <f t="shared" si="8"/>
        <v>1.4</v>
      </c>
      <c r="M163" s="36">
        <v>0.62172484234834346</v>
      </c>
      <c r="N163" s="21">
        <v>5.3</v>
      </c>
      <c r="O163" s="45"/>
      <c r="P163" s="23" t="s">
        <v>26</v>
      </c>
      <c r="Q163" s="81" t="s">
        <v>27</v>
      </c>
      <c r="R163" s="81"/>
      <c r="S163" s="81"/>
      <c r="T163" s="81"/>
      <c r="U163" s="81"/>
      <c r="V163" s="81"/>
      <c r="W163" s="81"/>
      <c r="X163" s="81"/>
      <c r="Y163" s="81"/>
      <c r="Z163" s="81"/>
      <c r="AA163" s="23"/>
      <c r="AB163" s="2"/>
      <c r="AC163" s="28" t="s">
        <v>28</v>
      </c>
      <c r="AD163" s="28" t="s">
        <v>29</v>
      </c>
      <c r="AE163" s="28" t="s">
        <v>30</v>
      </c>
    </row>
    <row r="164" spans="1:31" x14ac:dyDescent="0.25">
      <c r="A164" s="37" t="s">
        <v>841</v>
      </c>
      <c r="B164" s="51">
        <v>1.2</v>
      </c>
      <c r="C164" s="51"/>
      <c r="D164" s="51"/>
      <c r="E164" s="48"/>
      <c r="F164" s="48"/>
      <c r="G164" s="48"/>
      <c r="H164" s="48"/>
      <c r="I164" s="48"/>
      <c r="J164" s="48"/>
      <c r="K164" s="48"/>
      <c r="L164" s="48">
        <f t="shared" si="8"/>
        <v>1.2</v>
      </c>
      <c r="M164" s="36">
        <v>0.5329070077271516</v>
      </c>
      <c r="N164" s="21">
        <v>17.399999999999999</v>
      </c>
      <c r="O164" s="45"/>
      <c r="P164" s="46">
        <v>1</v>
      </c>
      <c r="Q164" s="24">
        <v>69.099999999999994</v>
      </c>
      <c r="R164" s="24">
        <v>54</v>
      </c>
      <c r="S164" s="24">
        <v>43.1</v>
      </c>
      <c r="T164" s="24">
        <v>13.919999999999996</v>
      </c>
      <c r="U164" s="24">
        <v>13.919999999999996</v>
      </c>
      <c r="V164" s="24">
        <v>4.2399999999999993</v>
      </c>
      <c r="W164" s="24"/>
      <c r="X164" s="24"/>
      <c r="Y164" s="24"/>
      <c r="Z164" s="24"/>
      <c r="AA164" s="24"/>
      <c r="AB164" s="24"/>
      <c r="AC164" s="9">
        <v>198.27999999999997</v>
      </c>
      <c r="AD164" s="27">
        <v>6</v>
      </c>
      <c r="AE164" s="9">
        <v>87.1</v>
      </c>
    </row>
    <row r="165" spans="1:31" x14ac:dyDescent="0.25">
      <c r="A165" s="49" t="s">
        <v>845</v>
      </c>
      <c r="B165" s="48">
        <v>225.18</v>
      </c>
      <c r="C165" s="48"/>
      <c r="D165" s="48"/>
      <c r="E165" s="48"/>
      <c r="F165" s="48"/>
      <c r="G165" s="48"/>
      <c r="H165" s="48"/>
      <c r="I165" s="48"/>
      <c r="J165" s="33"/>
      <c r="K165" s="33"/>
      <c r="L165" s="48">
        <f t="shared" si="8"/>
        <v>225.18</v>
      </c>
      <c r="M165" s="36">
        <v>100</v>
      </c>
      <c r="N165" s="21">
        <v>43.1</v>
      </c>
      <c r="O165" s="45"/>
      <c r="P165" s="46">
        <v>2</v>
      </c>
      <c r="Q165" s="24">
        <v>69.099999999999994</v>
      </c>
      <c r="R165" s="24">
        <v>54</v>
      </c>
      <c r="S165" s="24">
        <v>43.1</v>
      </c>
      <c r="T165" s="24">
        <v>13.919999999999996</v>
      </c>
      <c r="U165" s="24">
        <v>13.919999999999996</v>
      </c>
      <c r="V165" s="24">
        <v>2</v>
      </c>
      <c r="W165" s="24"/>
      <c r="X165" s="24"/>
      <c r="Y165" s="24"/>
      <c r="Z165" s="24"/>
      <c r="AA165" s="24"/>
      <c r="AB165" s="24"/>
      <c r="AC165" s="9">
        <v>196.03999999999996</v>
      </c>
      <c r="AD165" s="27">
        <v>5</v>
      </c>
      <c r="AE165" s="9">
        <v>93.7</v>
      </c>
    </row>
    <row r="166" spans="1:31" x14ac:dyDescent="0.25">
      <c r="A166" s="49"/>
      <c r="B166" s="48"/>
      <c r="C166" s="48"/>
      <c r="D166" s="48"/>
      <c r="E166" s="51"/>
      <c r="F166" s="48"/>
      <c r="G166" s="48"/>
      <c r="H166" s="48"/>
      <c r="I166" s="48"/>
      <c r="J166" s="33"/>
      <c r="K166" s="33"/>
      <c r="L166" s="48" t="str">
        <f t="shared" si="8"/>
        <v/>
      </c>
      <c r="M166" s="36" t="s">
        <v>846</v>
      </c>
      <c r="N166" s="21" t="s">
        <v>846</v>
      </c>
      <c r="O166" s="45"/>
      <c r="P166" s="46">
        <v>3</v>
      </c>
      <c r="Q166" s="24">
        <v>69.099999999999994</v>
      </c>
      <c r="R166" s="24">
        <v>54</v>
      </c>
      <c r="S166" s="24">
        <v>43.1</v>
      </c>
      <c r="T166" s="24">
        <v>13.919999999999996</v>
      </c>
      <c r="U166" s="24">
        <v>2</v>
      </c>
      <c r="V166" s="24">
        <v>2</v>
      </c>
      <c r="W166" s="24"/>
      <c r="X166" s="24"/>
      <c r="Y166" s="24"/>
      <c r="Z166" s="24"/>
      <c r="AA166" s="24"/>
      <c r="AB166" s="24"/>
      <c r="AC166" s="9">
        <v>184.11999999999998</v>
      </c>
      <c r="AD166" s="27">
        <v>4</v>
      </c>
      <c r="AE166" s="9">
        <v>93.8</v>
      </c>
    </row>
    <row r="167" spans="1:31" x14ac:dyDescent="0.25">
      <c r="A167" s="46"/>
      <c r="B167" s="47"/>
      <c r="C167" s="47"/>
      <c r="D167" s="47"/>
      <c r="E167" s="48"/>
      <c r="F167" s="48"/>
      <c r="G167" s="48"/>
      <c r="H167" s="48"/>
      <c r="I167" s="48"/>
      <c r="J167" s="33"/>
      <c r="K167" s="33"/>
      <c r="L167" s="48" t="str">
        <f t="shared" ref="L167:L182" si="9">IF(B167="","",SUM(B167:K167))</f>
        <v/>
      </c>
      <c r="M167" s="36" t="s">
        <v>846</v>
      </c>
      <c r="N167" s="21" t="s">
        <v>846</v>
      </c>
      <c r="O167" s="45"/>
      <c r="P167" s="46">
        <v>4</v>
      </c>
      <c r="Q167" s="24">
        <v>69.099999999999994</v>
      </c>
      <c r="R167" s="24">
        <v>54</v>
      </c>
      <c r="S167" s="24">
        <v>43.1</v>
      </c>
      <c r="T167" s="24">
        <v>2</v>
      </c>
      <c r="U167" s="24">
        <v>2</v>
      </c>
      <c r="V167" s="24">
        <v>2</v>
      </c>
      <c r="W167" s="24"/>
      <c r="X167" s="24"/>
      <c r="Y167" s="24"/>
      <c r="Z167" s="24"/>
      <c r="AA167" s="24"/>
      <c r="AB167" s="24"/>
      <c r="AC167" s="9">
        <v>172.2</v>
      </c>
      <c r="AD167" s="27">
        <v>3</v>
      </c>
      <c r="AE167" s="9">
        <v>96.5</v>
      </c>
    </row>
    <row r="168" spans="1:31" x14ac:dyDescent="0.25">
      <c r="A168" s="46"/>
      <c r="B168" s="47"/>
      <c r="C168" s="47"/>
      <c r="D168" s="47"/>
      <c r="E168" s="48"/>
      <c r="F168" s="48"/>
      <c r="G168" s="48"/>
      <c r="H168" s="48"/>
      <c r="I168" s="48"/>
      <c r="J168" s="33"/>
      <c r="K168" s="33"/>
      <c r="L168" s="48" t="str">
        <f t="shared" si="9"/>
        <v/>
      </c>
      <c r="M168" s="36" t="s">
        <v>846</v>
      </c>
      <c r="N168" s="21" t="s">
        <v>846</v>
      </c>
      <c r="O168" s="45"/>
      <c r="P168" s="46">
        <v>5</v>
      </c>
      <c r="Q168" s="24">
        <v>69.099999999999994</v>
      </c>
      <c r="R168" s="24">
        <v>54</v>
      </c>
      <c r="S168" s="24">
        <v>2</v>
      </c>
      <c r="T168" s="24">
        <v>2</v>
      </c>
      <c r="U168" s="24">
        <v>2</v>
      </c>
      <c r="V168" s="24">
        <v>2</v>
      </c>
      <c r="W168" s="24"/>
      <c r="X168" s="24"/>
      <c r="Y168" s="24"/>
      <c r="Z168" s="24"/>
      <c r="AA168" s="24"/>
      <c r="AB168" s="24"/>
      <c r="AC168" s="9">
        <v>131.1</v>
      </c>
      <c r="AD168" s="27">
        <v>2</v>
      </c>
      <c r="AE168" s="9">
        <v>85.5</v>
      </c>
    </row>
    <row r="169" spans="1:31" x14ac:dyDescent="0.25">
      <c r="A169" s="46"/>
      <c r="B169" s="47"/>
      <c r="C169" s="47"/>
      <c r="D169" s="47"/>
      <c r="E169" s="48"/>
      <c r="F169" s="48"/>
      <c r="G169" s="48"/>
      <c r="H169" s="48"/>
      <c r="I169" s="48"/>
      <c r="J169" s="33"/>
      <c r="K169" s="33"/>
      <c r="L169" s="48" t="str">
        <f t="shared" si="9"/>
        <v/>
      </c>
      <c r="M169" s="36" t="s">
        <v>846</v>
      </c>
      <c r="N169" s="21" t="s">
        <v>846</v>
      </c>
      <c r="O169" s="45"/>
      <c r="P169" s="46">
        <v>6</v>
      </c>
      <c r="Q169" s="24">
        <v>69.099999999999994</v>
      </c>
      <c r="R169" s="24">
        <v>2</v>
      </c>
      <c r="S169" s="24">
        <v>2</v>
      </c>
      <c r="T169" s="24">
        <v>2</v>
      </c>
      <c r="U169" s="24">
        <v>2</v>
      </c>
      <c r="V169" s="24">
        <v>2</v>
      </c>
      <c r="W169" s="24"/>
      <c r="X169" s="24"/>
      <c r="Y169" s="24"/>
      <c r="Z169" s="24"/>
      <c r="AA169" s="24"/>
      <c r="AB169" s="24"/>
      <c r="AC169" s="9">
        <v>79.099999999999994</v>
      </c>
      <c r="AD169" s="27">
        <v>1</v>
      </c>
      <c r="AE169" s="9">
        <v>79.099999999999994</v>
      </c>
    </row>
    <row r="170" spans="1:31" x14ac:dyDescent="0.25">
      <c r="A170" s="37"/>
      <c r="B170" s="48"/>
      <c r="C170" s="46"/>
      <c r="D170" s="33"/>
      <c r="E170" s="47"/>
      <c r="F170" s="47"/>
      <c r="G170" s="47"/>
      <c r="H170" s="47"/>
      <c r="I170" s="47"/>
      <c r="J170" s="33"/>
      <c r="K170" s="33"/>
      <c r="L170" s="48" t="str">
        <f t="shared" si="9"/>
        <v/>
      </c>
      <c r="M170" s="36" t="s">
        <v>846</v>
      </c>
      <c r="N170" s="21" t="s">
        <v>846</v>
      </c>
      <c r="O170" s="45"/>
      <c r="P170" s="46">
        <v>7</v>
      </c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9" t="s">
        <v>846</v>
      </c>
      <c r="AD170" s="27"/>
      <c r="AE170" s="9"/>
    </row>
    <row r="171" spans="1:31" x14ac:dyDescent="0.25">
      <c r="A171" s="37"/>
      <c r="B171" s="48"/>
      <c r="C171" s="46"/>
      <c r="D171" s="33"/>
      <c r="E171" s="47"/>
      <c r="F171" s="47"/>
      <c r="G171" s="47"/>
      <c r="H171" s="47"/>
      <c r="I171" s="47"/>
      <c r="J171" s="33"/>
      <c r="K171" s="33"/>
      <c r="L171" s="48" t="str">
        <f t="shared" si="9"/>
        <v/>
      </c>
      <c r="M171" s="36" t="s">
        <v>846</v>
      </c>
      <c r="N171" s="21" t="s">
        <v>846</v>
      </c>
      <c r="O171" s="45"/>
      <c r="P171" s="46">
        <v>8</v>
      </c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9" t="s">
        <v>846</v>
      </c>
      <c r="AD171" s="27"/>
      <c r="AE171" s="9"/>
    </row>
    <row r="172" spans="1:31" x14ac:dyDescent="0.25">
      <c r="A172" s="37"/>
      <c r="B172" s="48"/>
      <c r="C172" s="46"/>
      <c r="D172" s="33"/>
      <c r="E172" s="33"/>
      <c r="F172" s="33"/>
      <c r="G172" s="33"/>
      <c r="H172" s="33"/>
      <c r="I172" s="33"/>
      <c r="J172" s="33"/>
      <c r="K172" s="33"/>
      <c r="L172" s="48" t="str">
        <f t="shared" si="9"/>
        <v/>
      </c>
      <c r="M172" s="36" t="s">
        <v>846</v>
      </c>
      <c r="N172" s="21" t="s">
        <v>846</v>
      </c>
      <c r="O172" s="45"/>
      <c r="P172" s="46">
        <v>9</v>
      </c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9" t="s">
        <v>846</v>
      </c>
      <c r="AD172" s="27"/>
      <c r="AE172" s="9"/>
    </row>
    <row r="173" spans="1:31" x14ac:dyDescent="0.25">
      <c r="A173" s="37"/>
      <c r="B173" s="48"/>
      <c r="C173" s="33"/>
      <c r="D173" s="33"/>
      <c r="E173" s="33"/>
      <c r="F173" s="33"/>
      <c r="G173" s="33"/>
      <c r="H173" s="33"/>
      <c r="I173" s="33"/>
      <c r="J173" s="33"/>
      <c r="K173" s="33"/>
      <c r="L173" s="48" t="str">
        <f t="shared" si="9"/>
        <v/>
      </c>
      <c r="M173" s="36" t="s">
        <v>846</v>
      </c>
      <c r="N173" s="21" t="s">
        <v>846</v>
      </c>
      <c r="O173" s="45"/>
      <c r="P173" s="46">
        <v>10</v>
      </c>
      <c r="Q173" s="24"/>
      <c r="R173" s="24"/>
      <c r="S173" s="25"/>
      <c r="T173" s="25"/>
      <c r="U173" s="25"/>
      <c r="V173" s="25"/>
      <c r="W173" s="25"/>
      <c r="X173" s="25"/>
      <c r="Y173" s="25"/>
      <c r="Z173" s="25"/>
      <c r="AA173" s="25"/>
      <c r="AB173" s="8"/>
      <c r="AC173" s="9" t="s">
        <v>846</v>
      </c>
      <c r="AD173" s="8"/>
      <c r="AE173" s="9"/>
    </row>
    <row r="174" spans="1:31" x14ac:dyDescent="0.25">
      <c r="A174" s="37"/>
      <c r="B174" s="48"/>
      <c r="C174" s="33"/>
      <c r="D174" s="33"/>
      <c r="E174" s="33"/>
      <c r="F174" s="33"/>
      <c r="G174" s="33"/>
      <c r="H174" s="33"/>
      <c r="I174" s="33"/>
      <c r="J174" s="33"/>
      <c r="K174" s="33"/>
      <c r="L174" s="48" t="str">
        <f t="shared" si="9"/>
        <v/>
      </c>
      <c r="M174" s="36" t="s">
        <v>846</v>
      </c>
      <c r="N174" s="21" t="s">
        <v>846</v>
      </c>
      <c r="O174" s="45"/>
      <c r="P174" s="46">
        <v>11</v>
      </c>
      <c r="Q174" s="24"/>
      <c r="R174" s="24"/>
      <c r="S174" s="25"/>
      <c r="T174" s="25"/>
      <c r="U174" s="25"/>
      <c r="V174" s="25"/>
      <c r="W174" s="25"/>
      <c r="X174" s="25"/>
      <c r="Y174" s="25"/>
      <c r="Z174" s="25"/>
      <c r="AA174" s="25"/>
      <c r="AB174" s="8"/>
      <c r="AC174" s="9" t="s">
        <v>846</v>
      </c>
      <c r="AD174" s="8"/>
      <c r="AE174" s="9"/>
    </row>
    <row r="175" spans="1:31" x14ac:dyDescent="0.25">
      <c r="A175" s="37"/>
      <c r="B175" s="48"/>
      <c r="C175" s="33"/>
      <c r="D175" s="33"/>
      <c r="E175" s="33"/>
      <c r="F175" s="33"/>
      <c r="G175" s="33"/>
      <c r="H175" s="33"/>
      <c r="I175" s="33"/>
      <c r="J175" s="33"/>
      <c r="K175" s="33"/>
      <c r="L175" s="48" t="str">
        <f t="shared" si="9"/>
        <v/>
      </c>
      <c r="M175" s="36" t="s">
        <v>846</v>
      </c>
      <c r="N175" s="21" t="s">
        <v>846</v>
      </c>
      <c r="O175" s="45"/>
      <c r="P175" s="46">
        <v>12</v>
      </c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8"/>
      <c r="AC175" s="9" t="s">
        <v>846</v>
      </c>
      <c r="AD175" s="8"/>
      <c r="AE175" s="9"/>
    </row>
    <row r="176" spans="1:31" x14ac:dyDescent="0.25">
      <c r="A176" s="37"/>
      <c r="B176" s="48"/>
      <c r="C176" s="33"/>
      <c r="D176" s="33"/>
      <c r="E176" s="33"/>
      <c r="F176" s="33"/>
      <c r="G176" s="33"/>
      <c r="H176" s="33"/>
      <c r="I176" s="33"/>
      <c r="J176" s="33"/>
      <c r="K176" s="33"/>
      <c r="L176" s="48" t="str">
        <f t="shared" si="9"/>
        <v/>
      </c>
      <c r="M176" s="36" t="s">
        <v>846</v>
      </c>
      <c r="N176" s="21" t="s">
        <v>846</v>
      </c>
      <c r="O176" s="45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6" t="s">
        <v>31</v>
      </c>
      <c r="AC176" s="82">
        <v>96.5</v>
      </c>
      <c r="AD176" s="82"/>
      <c r="AE176" s="82"/>
    </row>
    <row r="177" spans="1:31" x14ac:dyDescent="0.25">
      <c r="A177" s="37"/>
      <c r="B177" s="48"/>
      <c r="C177" s="33"/>
      <c r="D177" s="33"/>
      <c r="E177" s="33"/>
      <c r="F177" s="33"/>
      <c r="G177" s="33"/>
      <c r="H177" s="33"/>
      <c r="I177" s="33"/>
      <c r="J177" s="33"/>
      <c r="K177" s="33"/>
      <c r="L177" s="48" t="str">
        <f t="shared" si="9"/>
        <v/>
      </c>
      <c r="M177" s="36" t="s">
        <v>846</v>
      </c>
      <c r="N177" s="21" t="s">
        <v>846</v>
      </c>
      <c r="O177" s="45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14" t="s">
        <v>32</v>
      </c>
      <c r="AC177" s="82">
        <v>3.5</v>
      </c>
      <c r="AD177" s="82"/>
      <c r="AE177" s="82"/>
    </row>
    <row r="178" spans="1:31" x14ac:dyDescent="0.25">
      <c r="A178" s="37"/>
      <c r="B178" s="48"/>
      <c r="C178" s="33"/>
      <c r="D178" s="33"/>
      <c r="E178" s="33"/>
      <c r="F178" s="33"/>
      <c r="G178" s="33"/>
      <c r="H178" s="33"/>
      <c r="I178" s="33"/>
      <c r="J178" s="33"/>
      <c r="K178" s="33"/>
      <c r="L178" s="48" t="str">
        <f t="shared" si="9"/>
        <v/>
      </c>
      <c r="M178" s="36" t="s">
        <v>846</v>
      </c>
      <c r="N178" s="21" t="s">
        <v>846</v>
      </c>
      <c r="O178" s="45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14" t="s">
        <v>23</v>
      </c>
      <c r="AC178" s="83" t="s">
        <v>852</v>
      </c>
      <c r="AD178" s="83"/>
      <c r="AE178" s="83"/>
    </row>
    <row r="179" spans="1:31" x14ac:dyDescent="0.25">
      <c r="A179" s="37"/>
      <c r="B179" s="48"/>
      <c r="C179" s="33"/>
      <c r="D179" s="33"/>
      <c r="E179" s="33"/>
      <c r="F179" s="33"/>
      <c r="G179" s="33"/>
      <c r="H179" s="33"/>
      <c r="I179" s="33"/>
      <c r="J179" s="33"/>
      <c r="K179" s="33"/>
      <c r="L179" s="48" t="str">
        <f t="shared" si="9"/>
        <v/>
      </c>
      <c r="M179" s="36" t="s">
        <v>846</v>
      </c>
      <c r="N179" s="21" t="s">
        <v>846</v>
      </c>
      <c r="O179" s="45"/>
      <c r="P179" s="45"/>
      <c r="Q179" s="45"/>
      <c r="R179" s="29"/>
      <c r="S179" s="29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</row>
    <row r="180" spans="1:31" x14ac:dyDescent="0.25">
      <c r="A180" s="37"/>
      <c r="B180" s="48"/>
      <c r="C180" s="33"/>
      <c r="D180" s="33"/>
      <c r="E180" s="33"/>
      <c r="F180" s="33"/>
      <c r="G180" s="33"/>
      <c r="H180" s="33"/>
      <c r="I180" s="33"/>
      <c r="J180" s="33"/>
      <c r="K180" s="33"/>
      <c r="L180" s="48" t="str">
        <f t="shared" si="9"/>
        <v/>
      </c>
      <c r="M180" s="36" t="s">
        <v>846</v>
      </c>
      <c r="N180" s="21" t="s">
        <v>846</v>
      </c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</row>
    <row r="181" spans="1:31" x14ac:dyDescent="0.25">
      <c r="A181" s="37"/>
      <c r="B181" s="48"/>
      <c r="C181" s="33"/>
      <c r="D181" s="33"/>
      <c r="E181" s="33"/>
      <c r="F181" s="33"/>
      <c r="G181" s="33"/>
      <c r="H181" s="33"/>
      <c r="I181" s="33"/>
      <c r="J181" s="33"/>
      <c r="K181" s="33"/>
      <c r="L181" s="48" t="str">
        <f t="shared" si="9"/>
        <v/>
      </c>
      <c r="M181" s="36" t="s">
        <v>846</v>
      </c>
      <c r="N181" s="21" t="s">
        <v>846</v>
      </c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</row>
    <row r="182" spans="1:31" x14ac:dyDescent="0.25">
      <c r="A182" s="37"/>
      <c r="B182" s="48"/>
      <c r="C182" s="33"/>
      <c r="D182" s="33"/>
      <c r="E182" s="33"/>
      <c r="F182" s="33"/>
      <c r="G182" s="33"/>
      <c r="H182" s="33"/>
      <c r="I182" s="33"/>
      <c r="J182" s="33"/>
      <c r="K182" s="33"/>
      <c r="L182" s="48" t="str">
        <f t="shared" si="9"/>
        <v/>
      </c>
      <c r="M182" s="36" t="s">
        <v>846</v>
      </c>
      <c r="N182" s="21" t="s">
        <v>846</v>
      </c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</row>
    <row r="185" spans="1:31" ht="15.75" thickBot="1" x14ac:dyDescent="0.3">
      <c r="A185" s="70" t="s">
        <v>0</v>
      </c>
      <c r="B185" s="70"/>
      <c r="C185" s="70"/>
      <c r="D185" s="70"/>
      <c r="E185" s="70"/>
      <c r="F185" s="70"/>
      <c r="G185" s="70"/>
      <c r="H185" s="70"/>
      <c r="I185" s="70"/>
      <c r="J185" s="67" t="s">
        <v>1</v>
      </c>
      <c r="K185" s="67"/>
      <c r="L185" s="67"/>
      <c r="M185" s="67"/>
      <c r="N185" s="67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45"/>
      <c r="AD185" s="45"/>
      <c r="AE185" s="45"/>
    </row>
    <row r="186" spans="1:31" ht="15.75" thickBot="1" x14ac:dyDescent="0.3">
      <c r="A186" s="71" t="s">
        <v>2</v>
      </c>
      <c r="B186" s="71"/>
      <c r="C186" s="71"/>
      <c r="D186" s="71"/>
      <c r="E186" s="71"/>
      <c r="F186" s="71"/>
      <c r="G186" s="71"/>
      <c r="H186" s="71"/>
      <c r="I186" s="71"/>
      <c r="J186" s="67"/>
      <c r="K186" s="67"/>
      <c r="L186" s="67"/>
      <c r="M186" s="67"/>
      <c r="N186" s="67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45"/>
      <c r="AD186" s="45"/>
      <c r="AE186" s="45"/>
    </row>
    <row r="187" spans="1:31" ht="15.75" thickBot="1" x14ac:dyDescent="0.3">
      <c r="A187" s="72" t="s">
        <v>3</v>
      </c>
      <c r="B187" s="72"/>
      <c r="C187" s="72"/>
      <c r="D187" s="72"/>
      <c r="E187" s="72"/>
      <c r="F187" s="72"/>
      <c r="G187" s="72"/>
      <c r="H187" s="73"/>
      <c r="I187" s="72"/>
      <c r="J187" s="68"/>
      <c r="K187" s="68"/>
      <c r="L187" s="68"/>
      <c r="M187" s="68"/>
      <c r="N187" s="68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45"/>
      <c r="AD187" s="45"/>
      <c r="AE187" s="45"/>
    </row>
    <row r="188" spans="1:31" x14ac:dyDescent="0.25">
      <c r="A188" s="74" t="s">
        <v>22</v>
      </c>
      <c r="B188" s="74"/>
      <c r="C188" s="74"/>
      <c r="D188" s="75" t="s">
        <v>837</v>
      </c>
      <c r="E188" s="75"/>
      <c r="F188" s="75"/>
      <c r="G188" s="76"/>
      <c r="H188" s="40" t="s">
        <v>35</v>
      </c>
      <c r="I188" s="12">
        <v>1</v>
      </c>
      <c r="J188" s="61" t="s">
        <v>33</v>
      </c>
      <c r="K188" s="56">
        <v>8.1</v>
      </c>
      <c r="L188" s="5"/>
      <c r="M188" s="61" t="s">
        <v>36</v>
      </c>
      <c r="N188" s="15">
        <v>43415</v>
      </c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45"/>
      <c r="AD188" s="45"/>
      <c r="AE188" s="45"/>
    </row>
    <row r="189" spans="1:31" x14ac:dyDescent="0.25">
      <c r="A189" s="65" t="s">
        <v>37</v>
      </c>
      <c r="B189" s="65"/>
      <c r="C189" s="65"/>
      <c r="D189" s="77" t="s">
        <v>838</v>
      </c>
      <c r="E189" s="77"/>
      <c r="F189" s="77"/>
      <c r="G189" s="78"/>
      <c r="H189" s="40" t="s">
        <v>38</v>
      </c>
      <c r="I189" s="12">
        <v>1</v>
      </c>
      <c r="J189" s="61" t="s">
        <v>39</v>
      </c>
      <c r="K189" s="58">
        <v>27.8</v>
      </c>
      <c r="L189" s="65" t="s">
        <v>40</v>
      </c>
      <c r="M189" s="65"/>
      <c r="N189" s="55" t="s">
        <v>861</v>
      </c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45"/>
      <c r="AD189" s="45"/>
      <c r="AE189" s="45"/>
    </row>
    <row r="190" spans="1:31" ht="15.75" thickBot="1" x14ac:dyDescent="0.3">
      <c r="A190" s="66" t="s">
        <v>41</v>
      </c>
      <c r="B190" s="66"/>
      <c r="C190" s="66"/>
      <c r="D190" s="79" t="s">
        <v>856</v>
      </c>
      <c r="E190" s="79"/>
      <c r="F190" s="79"/>
      <c r="G190" s="80"/>
      <c r="H190" s="33"/>
      <c r="I190" s="45"/>
      <c r="J190" s="1"/>
      <c r="K190" s="45"/>
      <c r="L190" s="4"/>
      <c r="M190" s="16" t="s">
        <v>42</v>
      </c>
      <c r="N190" s="57">
        <v>225.18</v>
      </c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45"/>
      <c r="AD190" s="45"/>
      <c r="AE190" s="45"/>
    </row>
    <row r="191" spans="1:31" x14ac:dyDescent="0.25">
      <c r="A191" s="64" t="s">
        <v>4</v>
      </c>
      <c r="B191" s="64"/>
      <c r="C191" s="59"/>
      <c r="D191" s="64" t="s">
        <v>833</v>
      </c>
      <c r="E191" s="69"/>
      <c r="F191" s="69"/>
      <c r="G191" s="69"/>
      <c r="H191" s="64" t="s">
        <v>5</v>
      </c>
      <c r="I191" s="69"/>
      <c r="J191" s="64"/>
      <c r="K191" s="69"/>
      <c r="L191" s="69" t="s">
        <v>43</v>
      </c>
      <c r="M191" s="69"/>
      <c r="N191" s="69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45"/>
      <c r="AD191" s="45"/>
      <c r="AE191" s="45"/>
    </row>
    <row r="192" spans="1:31" x14ac:dyDescent="0.25">
      <c r="A192" s="64" t="s">
        <v>6</v>
      </c>
      <c r="B192" s="64"/>
      <c r="C192" s="59"/>
      <c r="D192" s="64" t="s">
        <v>7</v>
      </c>
      <c r="E192" s="64"/>
      <c r="F192" s="64"/>
      <c r="G192" s="64"/>
      <c r="H192" s="64" t="s">
        <v>8</v>
      </c>
      <c r="I192" s="64"/>
      <c r="J192" s="64"/>
      <c r="K192" s="64"/>
      <c r="L192" s="64" t="s">
        <v>44</v>
      </c>
      <c r="M192" s="64"/>
      <c r="N192" s="64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45"/>
      <c r="AD192" s="45"/>
      <c r="AE192" s="45"/>
    </row>
    <row r="193" spans="1:31" x14ac:dyDescent="0.25">
      <c r="A193" s="64" t="s">
        <v>9</v>
      </c>
      <c r="B193" s="64"/>
      <c r="C193" s="59"/>
      <c r="D193" s="64" t="s">
        <v>10</v>
      </c>
      <c r="E193" s="64"/>
      <c r="F193" s="64"/>
      <c r="G193" s="64"/>
      <c r="H193" s="64" t="s">
        <v>11</v>
      </c>
      <c r="I193" s="64"/>
      <c r="J193" s="64"/>
      <c r="K193" s="64"/>
      <c r="L193" s="59" t="s">
        <v>45</v>
      </c>
      <c r="M193" s="59"/>
      <c r="N193" s="59"/>
      <c r="O193" s="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</row>
    <row r="194" spans="1:31" x14ac:dyDescent="0.25">
      <c r="A194" s="3" t="s">
        <v>12</v>
      </c>
      <c r="B194" s="3"/>
      <c r="C194" s="59"/>
      <c r="D194" s="64" t="s">
        <v>13</v>
      </c>
      <c r="E194" s="64"/>
      <c r="F194" s="64"/>
      <c r="G194" s="64"/>
      <c r="H194" s="64" t="s">
        <v>46</v>
      </c>
      <c r="I194" s="64"/>
      <c r="J194" s="64"/>
      <c r="K194" s="64"/>
      <c r="L194" s="59" t="s">
        <v>47</v>
      </c>
      <c r="M194" s="59"/>
      <c r="N194" s="59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</row>
    <row r="195" spans="1:31" x14ac:dyDescent="0.25">
      <c r="A195" s="64" t="s">
        <v>15</v>
      </c>
      <c r="B195" s="64"/>
      <c r="C195" s="59"/>
      <c r="D195" s="64" t="s">
        <v>16</v>
      </c>
      <c r="E195" s="64"/>
      <c r="F195" s="64"/>
      <c r="G195" s="64"/>
      <c r="H195" s="64" t="s">
        <v>48</v>
      </c>
      <c r="I195" s="64"/>
      <c r="J195" s="64"/>
      <c r="K195" s="64"/>
      <c r="L195" s="59" t="s">
        <v>14</v>
      </c>
      <c r="M195" s="59"/>
      <c r="N195" s="59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</row>
    <row r="196" spans="1:31" ht="25.5" x14ac:dyDescent="0.25">
      <c r="A196" s="60" t="s">
        <v>17</v>
      </c>
      <c r="B196" s="84" t="s">
        <v>18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60" t="s">
        <v>19</v>
      </c>
      <c r="M196" s="60" t="s">
        <v>20</v>
      </c>
      <c r="N196" s="18" t="s">
        <v>21</v>
      </c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</row>
    <row r="197" spans="1:31" ht="15.75" thickBot="1" x14ac:dyDescent="0.3">
      <c r="A197" s="49" t="s">
        <v>841</v>
      </c>
      <c r="B197" s="48">
        <f>27.8*2.4</f>
        <v>66.72</v>
      </c>
      <c r="C197" s="48">
        <f>0.7*2.9</f>
        <v>2.0299999999999998</v>
      </c>
      <c r="D197" s="48"/>
      <c r="E197" s="48"/>
      <c r="F197" s="48"/>
      <c r="G197" s="48"/>
      <c r="H197" s="48"/>
      <c r="I197" s="48"/>
      <c r="J197" s="48"/>
      <c r="K197" s="48"/>
      <c r="L197" s="48">
        <f t="shared" ref="L197:L203" si="10">IF(B197="","",SUM(B197:K197))</f>
        <v>68.75</v>
      </c>
      <c r="M197" s="36">
        <v>30.531130651034726</v>
      </c>
      <c r="N197" s="21">
        <v>61.4</v>
      </c>
      <c r="O197" s="45"/>
      <c r="P197" s="85" t="s">
        <v>24</v>
      </c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</row>
    <row r="198" spans="1:31" ht="15.75" thickBot="1" x14ac:dyDescent="0.3">
      <c r="A198" s="49" t="s">
        <v>858</v>
      </c>
      <c r="B198" s="48">
        <v>27.8</v>
      </c>
      <c r="C198" s="48"/>
      <c r="D198" s="48"/>
      <c r="E198" s="48"/>
      <c r="F198" s="48"/>
      <c r="G198" s="48"/>
      <c r="H198" s="48"/>
      <c r="I198" s="48"/>
      <c r="J198" s="48"/>
      <c r="K198" s="48"/>
      <c r="L198" s="48">
        <f t="shared" si="10"/>
        <v>27.8</v>
      </c>
      <c r="M198" s="36">
        <v>12.345679012345679</v>
      </c>
      <c r="N198" s="21">
        <v>34.200000000000003</v>
      </c>
      <c r="O198" s="45"/>
      <c r="P198" s="86" t="s">
        <v>25</v>
      </c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</row>
    <row r="199" spans="1:31" ht="15.75" thickBot="1" x14ac:dyDescent="0.3">
      <c r="A199" s="49" t="s">
        <v>845</v>
      </c>
      <c r="B199" s="48">
        <v>225.18</v>
      </c>
      <c r="C199" s="48"/>
      <c r="D199" s="48"/>
      <c r="E199" s="48"/>
      <c r="F199" s="48"/>
      <c r="G199" s="48"/>
      <c r="H199" s="48"/>
      <c r="I199" s="48"/>
      <c r="J199" s="48"/>
      <c r="K199" s="48"/>
      <c r="L199" s="48">
        <f t="shared" si="10"/>
        <v>225.18</v>
      </c>
      <c r="M199" s="36">
        <v>100</v>
      </c>
      <c r="N199" s="21">
        <v>43.1</v>
      </c>
      <c r="O199" s="45"/>
      <c r="P199" s="87" t="s">
        <v>49</v>
      </c>
      <c r="Q199" s="87"/>
      <c r="R199" s="87"/>
      <c r="S199" s="87"/>
      <c r="T199" s="88" t="s">
        <v>861</v>
      </c>
      <c r="U199" s="88"/>
      <c r="V199" s="88"/>
      <c r="W199" s="88"/>
      <c r="X199" s="22" t="s">
        <v>50</v>
      </c>
      <c r="Y199" s="22"/>
      <c r="Z199" s="45"/>
      <c r="AA199" s="89">
        <v>225.18</v>
      </c>
      <c r="AB199" s="89"/>
      <c r="AC199" s="89"/>
      <c r="AD199" s="89"/>
      <c r="AE199" s="89"/>
    </row>
    <row r="200" spans="1:31" x14ac:dyDescent="0.25">
      <c r="A200" s="49" t="s">
        <v>843</v>
      </c>
      <c r="B200" s="48">
        <v>1</v>
      </c>
      <c r="C200" s="48"/>
      <c r="D200" s="48"/>
      <c r="E200" s="48"/>
      <c r="F200" s="48"/>
      <c r="G200" s="48"/>
      <c r="H200" s="48"/>
      <c r="I200" s="48"/>
      <c r="J200" s="48"/>
      <c r="K200" s="48"/>
      <c r="L200" s="48">
        <f t="shared" si="10"/>
        <v>1</v>
      </c>
      <c r="M200" s="36">
        <v>0.44408917310595963</v>
      </c>
      <c r="N200" s="21">
        <v>40.700000000000003</v>
      </c>
      <c r="O200" s="45"/>
      <c r="P200" s="23" t="s">
        <v>26</v>
      </c>
      <c r="Q200" s="81" t="s">
        <v>27</v>
      </c>
      <c r="R200" s="81"/>
      <c r="S200" s="81"/>
      <c r="T200" s="81"/>
      <c r="U200" s="81"/>
      <c r="V200" s="81"/>
      <c r="W200" s="81"/>
      <c r="X200" s="81"/>
      <c r="Y200" s="81"/>
      <c r="Z200" s="81"/>
      <c r="AA200" s="23"/>
      <c r="AB200" s="2"/>
      <c r="AC200" s="28" t="s">
        <v>28</v>
      </c>
      <c r="AD200" s="28" t="s">
        <v>29</v>
      </c>
      <c r="AE200" s="28" t="s">
        <v>30</v>
      </c>
    </row>
    <row r="201" spans="1:31" x14ac:dyDescent="0.25">
      <c r="A201" s="37" t="s">
        <v>851</v>
      </c>
      <c r="B201" s="51">
        <f>1.1*1.1</f>
        <v>1.2100000000000002</v>
      </c>
      <c r="C201" s="51">
        <f>4.8*0.4</f>
        <v>1.92</v>
      </c>
      <c r="D201" s="51"/>
      <c r="E201" s="48"/>
      <c r="F201" s="48"/>
      <c r="G201" s="48"/>
      <c r="H201" s="48"/>
      <c r="I201" s="48"/>
      <c r="J201" s="48"/>
      <c r="K201" s="48"/>
      <c r="L201" s="48">
        <f t="shared" si="10"/>
        <v>3.13</v>
      </c>
      <c r="M201" s="36">
        <v>1.3899991118216537</v>
      </c>
      <c r="N201" s="21">
        <v>22.2</v>
      </c>
      <c r="O201" s="45"/>
      <c r="P201" s="46">
        <v>1</v>
      </c>
      <c r="Q201" s="24">
        <v>61.4</v>
      </c>
      <c r="R201" s="24">
        <v>43.1</v>
      </c>
      <c r="S201" s="24">
        <v>40.700000000000003</v>
      </c>
      <c r="T201" s="24">
        <v>34.200000000000003</v>
      </c>
      <c r="U201" s="24">
        <v>11.1</v>
      </c>
      <c r="V201" s="24">
        <v>4.25</v>
      </c>
      <c r="W201" s="24">
        <v>1.95</v>
      </c>
      <c r="X201" s="24"/>
      <c r="Y201" s="24"/>
      <c r="Z201" s="24"/>
      <c r="AA201" s="24"/>
      <c r="AB201" s="24"/>
      <c r="AC201" s="9">
        <v>196.69999999999996</v>
      </c>
      <c r="AD201" s="27">
        <v>6</v>
      </c>
      <c r="AE201" s="9">
        <v>86.8</v>
      </c>
    </row>
    <row r="202" spans="1:31" x14ac:dyDescent="0.25">
      <c r="A202" s="49" t="s">
        <v>862</v>
      </c>
      <c r="B202" s="48">
        <f>0.6*0.6</f>
        <v>0.36</v>
      </c>
      <c r="C202" s="48"/>
      <c r="D202" s="48"/>
      <c r="E202" s="48"/>
      <c r="F202" s="48"/>
      <c r="G202" s="48"/>
      <c r="H202" s="48"/>
      <c r="I202" s="48"/>
      <c r="J202" s="33"/>
      <c r="K202" s="33"/>
      <c r="L202" s="48">
        <f t="shared" si="10"/>
        <v>0.36</v>
      </c>
      <c r="M202" s="36">
        <v>0.15987210231814547</v>
      </c>
      <c r="N202" s="21">
        <v>3.9</v>
      </c>
      <c r="O202" s="45"/>
      <c r="P202" s="46">
        <v>2</v>
      </c>
      <c r="Q202" s="24">
        <v>61.4</v>
      </c>
      <c r="R202" s="24">
        <v>43.1</v>
      </c>
      <c r="S202" s="24">
        <v>40.700000000000003</v>
      </c>
      <c r="T202" s="24">
        <v>34.200000000000003</v>
      </c>
      <c r="U202" s="24">
        <v>11.1</v>
      </c>
      <c r="V202" s="24">
        <v>2</v>
      </c>
      <c r="W202" s="24">
        <v>1.95</v>
      </c>
      <c r="X202" s="24"/>
      <c r="Y202" s="24"/>
      <c r="Z202" s="24"/>
      <c r="AA202" s="24"/>
      <c r="AB202" s="24"/>
      <c r="AC202" s="9">
        <v>194.44999999999996</v>
      </c>
      <c r="AD202" s="27">
        <v>5</v>
      </c>
      <c r="AE202" s="9">
        <v>93.3</v>
      </c>
    </row>
    <row r="203" spans="1:31" x14ac:dyDescent="0.25">
      <c r="A203" s="49" t="s">
        <v>863</v>
      </c>
      <c r="B203" s="48">
        <f>0.6*3.4</f>
        <v>2.04</v>
      </c>
      <c r="C203" s="48"/>
      <c r="D203" s="48"/>
      <c r="E203" s="51"/>
      <c r="F203" s="48"/>
      <c r="G203" s="48"/>
      <c r="H203" s="48"/>
      <c r="I203" s="48"/>
      <c r="J203" s="33"/>
      <c r="K203" s="33"/>
      <c r="L203" s="48">
        <f t="shared" si="10"/>
        <v>2.04</v>
      </c>
      <c r="M203" s="36">
        <v>0.90594191313615768</v>
      </c>
      <c r="N203" s="21">
        <v>8.5</v>
      </c>
      <c r="O203" s="45"/>
      <c r="P203" s="46">
        <v>3</v>
      </c>
      <c r="Q203" s="24">
        <v>61.4</v>
      </c>
      <c r="R203" s="24">
        <v>43.1</v>
      </c>
      <c r="S203" s="24">
        <v>40.700000000000003</v>
      </c>
      <c r="T203" s="24">
        <v>34.200000000000003</v>
      </c>
      <c r="U203" s="24">
        <v>2</v>
      </c>
      <c r="V203" s="24">
        <v>2</v>
      </c>
      <c r="W203" s="24">
        <v>1.95</v>
      </c>
      <c r="X203" s="24"/>
      <c r="Y203" s="24"/>
      <c r="Z203" s="24"/>
      <c r="AA203" s="24"/>
      <c r="AB203" s="24"/>
      <c r="AC203" s="9">
        <v>185.34999999999997</v>
      </c>
      <c r="AD203" s="27">
        <v>4</v>
      </c>
      <c r="AE203" s="9">
        <v>94.2</v>
      </c>
    </row>
    <row r="204" spans="1:31" x14ac:dyDescent="0.25">
      <c r="A204" s="46"/>
      <c r="B204" s="47"/>
      <c r="C204" s="47"/>
      <c r="D204" s="47"/>
      <c r="E204" s="48"/>
      <c r="F204" s="48"/>
      <c r="G204" s="48"/>
      <c r="H204" s="48"/>
      <c r="I204" s="48"/>
      <c r="J204" s="33"/>
      <c r="K204" s="33"/>
      <c r="L204" s="48" t="str">
        <f t="shared" ref="L204:L219" si="11">IF(B204="","",SUM(B204:K204))</f>
        <v/>
      </c>
      <c r="M204" s="36" t="s">
        <v>846</v>
      </c>
      <c r="N204" s="21" t="s">
        <v>846</v>
      </c>
      <c r="O204" s="45"/>
      <c r="P204" s="46">
        <v>4</v>
      </c>
      <c r="Q204" s="24">
        <v>61.4</v>
      </c>
      <c r="R204" s="24">
        <v>43.1</v>
      </c>
      <c r="S204" s="24">
        <v>40.700000000000003</v>
      </c>
      <c r="T204" s="24">
        <v>2</v>
      </c>
      <c r="U204" s="24">
        <v>2</v>
      </c>
      <c r="V204" s="24">
        <v>2</v>
      </c>
      <c r="W204" s="24">
        <v>1.95</v>
      </c>
      <c r="X204" s="24"/>
      <c r="Y204" s="24"/>
      <c r="Z204" s="24"/>
      <c r="AA204" s="24"/>
      <c r="AB204" s="24"/>
      <c r="AC204" s="9">
        <v>153.14999999999998</v>
      </c>
      <c r="AD204" s="27">
        <v>3</v>
      </c>
      <c r="AE204" s="9">
        <v>89.4</v>
      </c>
    </row>
    <row r="205" spans="1:31" x14ac:dyDescent="0.25">
      <c r="A205" s="46"/>
      <c r="B205" s="47"/>
      <c r="C205" s="47"/>
      <c r="D205" s="47"/>
      <c r="E205" s="48"/>
      <c r="F205" s="48"/>
      <c r="G205" s="48"/>
      <c r="H205" s="48"/>
      <c r="I205" s="48"/>
      <c r="J205" s="33"/>
      <c r="K205" s="33"/>
      <c r="L205" s="48" t="str">
        <f t="shared" si="11"/>
        <v/>
      </c>
      <c r="M205" s="36" t="s">
        <v>846</v>
      </c>
      <c r="N205" s="21" t="s">
        <v>846</v>
      </c>
      <c r="O205" s="45"/>
      <c r="P205" s="46">
        <v>5</v>
      </c>
      <c r="Q205" s="24">
        <v>61.4</v>
      </c>
      <c r="R205" s="24">
        <v>43.1</v>
      </c>
      <c r="S205" s="24">
        <v>2</v>
      </c>
      <c r="T205" s="24">
        <v>2</v>
      </c>
      <c r="U205" s="24">
        <v>2</v>
      </c>
      <c r="V205" s="24">
        <v>2</v>
      </c>
      <c r="W205" s="24">
        <v>1.95</v>
      </c>
      <c r="X205" s="24"/>
      <c r="Y205" s="24"/>
      <c r="Z205" s="24"/>
      <c r="AA205" s="24"/>
      <c r="AB205" s="24"/>
      <c r="AC205" s="9">
        <v>114.45</v>
      </c>
      <c r="AD205" s="27">
        <v>2</v>
      </c>
      <c r="AE205" s="9">
        <v>76.599999999999994</v>
      </c>
    </row>
    <row r="206" spans="1:31" x14ac:dyDescent="0.25">
      <c r="A206" s="46"/>
      <c r="B206" s="47"/>
      <c r="C206" s="47"/>
      <c r="D206" s="47"/>
      <c r="E206" s="48"/>
      <c r="F206" s="48"/>
      <c r="G206" s="48"/>
      <c r="H206" s="48"/>
      <c r="I206" s="48"/>
      <c r="J206" s="33"/>
      <c r="K206" s="33"/>
      <c r="L206" s="48" t="str">
        <f t="shared" si="11"/>
        <v/>
      </c>
      <c r="M206" s="36" t="s">
        <v>846</v>
      </c>
      <c r="N206" s="21" t="s">
        <v>846</v>
      </c>
      <c r="O206" s="45"/>
      <c r="P206" s="46">
        <v>6</v>
      </c>
      <c r="Q206" s="24">
        <v>61.4</v>
      </c>
      <c r="R206" s="24">
        <v>2</v>
      </c>
      <c r="S206" s="24">
        <v>2</v>
      </c>
      <c r="T206" s="24">
        <v>2</v>
      </c>
      <c r="U206" s="24">
        <v>2</v>
      </c>
      <c r="V206" s="24">
        <v>2</v>
      </c>
      <c r="W206" s="24">
        <v>1.95</v>
      </c>
      <c r="X206" s="24"/>
      <c r="Y206" s="24"/>
      <c r="Z206" s="24"/>
      <c r="AA206" s="24"/>
      <c r="AB206" s="24"/>
      <c r="AC206" s="9">
        <v>73.350000000000009</v>
      </c>
      <c r="AD206" s="27">
        <v>1</v>
      </c>
      <c r="AE206" s="9">
        <v>73.400000000000006</v>
      </c>
    </row>
    <row r="207" spans="1:31" x14ac:dyDescent="0.25">
      <c r="A207" s="37"/>
      <c r="B207" s="48"/>
      <c r="C207" s="46"/>
      <c r="D207" s="33"/>
      <c r="E207" s="47"/>
      <c r="F207" s="47"/>
      <c r="G207" s="47"/>
      <c r="H207" s="47"/>
      <c r="I207" s="47"/>
      <c r="J207" s="33"/>
      <c r="K207" s="33"/>
      <c r="L207" s="48" t="str">
        <f t="shared" si="11"/>
        <v/>
      </c>
      <c r="M207" s="36" t="s">
        <v>846</v>
      </c>
      <c r="N207" s="21" t="s">
        <v>846</v>
      </c>
      <c r="O207" s="45"/>
      <c r="P207" s="46">
        <v>7</v>
      </c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9" t="s">
        <v>846</v>
      </c>
      <c r="AD207" s="27"/>
      <c r="AE207" s="9"/>
    </row>
    <row r="208" spans="1:31" x14ac:dyDescent="0.25">
      <c r="A208" s="37"/>
      <c r="B208" s="48"/>
      <c r="C208" s="46"/>
      <c r="D208" s="33"/>
      <c r="E208" s="47"/>
      <c r="F208" s="47"/>
      <c r="G208" s="47"/>
      <c r="H208" s="47"/>
      <c r="I208" s="47"/>
      <c r="J208" s="33"/>
      <c r="K208" s="33"/>
      <c r="L208" s="48" t="str">
        <f t="shared" si="11"/>
        <v/>
      </c>
      <c r="M208" s="36" t="s">
        <v>846</v>
      </c>
      <c r="N208" s="21" t="s">
        <v>846</v>
      </c>
      <c r="O208" s="45"/>
      <c r="P208" s="46">
        <v>8</v>
      </c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9" t="s">
        <v>846</v>
      </c>
      <c r="AD208" s="27"/>
      <c r="AE208" s="9"/>
    </row>
    <row r="209" spans="1:31" x14ac:dyDescent="0.25">
      <c r="A209" s="37"/>
      <c r="B209" s="48"/>
      <c r="C209" s="46"/>
      <c r="D209" s="33"/>
      <c r="E209" s="33"/>
      <c r="F209" s="33"/>
      <c r="G209" s="33"/>
      <c r="H209" s="33"/>
      <c r="I209" s="33"/>
      <c r="J209" s="33"/>
      <c r="K209" s="33"/>
      <c r="L209" s="48" t="str">
        <f t="shared" si="11"/>
        <v/>
      </c>
      <c r="M209" s="36" t="s">
        <v>846</v>
      </c>
      <c r="N209" s="21" t="s">
        <v>846</v>
      </c>
      <c r="O209" s="45"/>
      <c r="P209" s="46">
        <v>9</v>
      </c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9" t="s">
        <v>846</v>
      </c>
      <c r="AD209" s="27"/>
      <c r="AE209" s="9"/>
    </row>
    <row r="210" spans="1:31" x14ac:dyDescent="0.25">
      <c r="A210" s="37"/>
      <c r="B210" s="48"/>
      <c r="C210" s="33"/>
      <c r="D210" s="33"/>
      <c r="E210" s="33"/>
      <c r="F210" s="33"/>
      <c r="G210" s="33"/>
      <c r="H210" s="33"/>
      <c r="I210" s="33"/>
      <c r="J210" s="33"/>
      <c r="K210" s="33"/>
      <c r="L210" s="48" t="str">
        <f t="shared" si="11"/>
        <v/>
      </c>
      <c r="M210" s="36" t="s">
        <v>846</v>
      </c>
      <c r="N210" s="21" t="s">
        <v>846</v>
      </c>
      <c r="O210" s="45"/>
      <c r="P210" s="46">
        <v>10</v>
      </c>
      <c r="Q210" s="24"/>
      <c r="R210" s="24"/>
      <c r="S210" s="25"/>
      <c r="T210" s="25"/>
      <c r="U210" s="25"/>
      <c r="V210" s="25"/>
      <c r="W210" s="25"/>
      <c r="X210" s="25"/>
      <c r="Y210" s="25"/>
      <c r="Z210" s="25"/>
      <c r="AA210" s="25"/>
      <c r="AB210" s="8"/>
      <c r="AC210" s="9" t="s">
        <v>846</v>
      </c>
      <c r="AD210" s="8"/>
      <c r="AE210" s="9"/>
    </row>
    <row r="211" spans="1:31" x14ac:dyDescent="0.25">
      <c r="A211" s="37"/>
      <c r="B211" s="48"/>
      <c r="C211" s="33"/>
      <c r="D211" s="33"/>
      <c r="E211" s="33"/>
      <c r="F211" s="33"/>
      <c r="G211" s="33"/>
      <c r="H211" s="33"/>
      <c r="I211" s="33"/>
      <c r="J211" s="33"/>
      <c r="K211" s="33"/>
      <c r="L211" s="48" t="str">
        <f t="shared" si="11"/>
        <v/>
      </c>
      <c r="M211" s="36" t="s">
        <v>846</v>
      </c>
      <c r="N211" s="21" t="s">
        <v>846</v>
      </c>
      <c r="O211" s="45"/>
      <c r="P211" s="46">
        <v>11</v>
      </c>
      <c r="Q211" s="24"/>
      <c r="R211" s="24"/>
      <c r="S211" s="25"/>
      <c r="T211" s="25"/>
      <c r="U211" s="25"/>
      <c r="V211" s="25"/>
      <c r="W211" s="25"/>
      <c r="X211" s="25"/>
      <c r="Y211" s="25"/>
      <c r="Z211" s="25"/>
      <c r="AA211" s="25"/>
      <c r="AB211" s="8"/>
      <c r="AC211" s="9" t="s">
        <v>846</v>
      </c>
      <c r="AD211" s="8"/>
      <c r="AE211" s="9"/>
    </row>
    <row r="212" spans="1:31" x14ac:dyDescent="0.25">
      <c r="A212" s="37"/>
      <c r="B212" s="48"/>
      <c r="C212" s="33"/>
      <c r="D212" s="33"/>
      <c r="E212" s="33"/>
      <c r="F212" s="33"/>
      <c r="G212" s="33"/>
      <c r="H212" s="33"/>
      <c r="I212" s="33"/>
      <c r="J212" s="33"/>
      <c r="K212" s="33"/>
      <c r="L212" s="48" t="str">
        <f t="shared" si="11"/>
        <v/>
      </c>
      <c r="M212" s="36" t="s">
        <v>846</v>
      </c>
      <c r="N212" s="21" t="s">
        <v>846</v>
      </c>
      <c r="O212" s="45"/>
      <c r="P212" s="46">
        <v>12</v>
      </c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8"/>
      <c r="AC212" s="9" t="s">
        <v>846</v>
      </c>
      <c r="AD212" s="8"/>
      <c r="AE212" s="9"/>
    </row>
    <row r="213" spans="1:31" x14ac:dyDescent="0.25">
      <c r="A213" s="37"/>
      <c r="B213" s="48"/>
      <c r="C213" s="33"/>
      <c r="D213" s="33"/>
      <c r="E213" s="33"/>
      <c r="F213" s="33"/>
      <c r="G213" s="33"/>
      <c r="H213" s="33"/>
      <c r="I213" s="33"/>
      <c r="J213" s="33"/>
      <c r="K213" s="33"/>
      <c r="L213" s="48" t="str">
        <f t="shared" si="11"/>
        <v/>
      </c>
      <c r="M213" s="36" t="s">
        <v>846</v>
      </c>
      <c r="N213" s="21" t="s">
        <v>846</v>
      </c>
      <c r="O213" s="45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6" t="s">
        <v>31</v>
      </c>
      <c r="AC213" s="82">
        <v>94.2</v>
      </c>
      <c r="AD213" s="82"/>
      <c r="AE213" s="82"/>
    </row>
    <row r="214" spans="1:31" x14ac:dyDescent="0.25">
      <c r="A214" s="37"/>
      <c r="B214" s="48"/>
      <c r="C214" s="33"/>
      <c r="D214" s="33"/>
      <c r="E214" s="33"/>
      <c r="F214" s="33"/>
      <c r="G214" s="33"/>
      <c r="H214" s="33"/>
      <c r="I214" s="33"/>
      <c r="J214" s="33"/>
      <c r="K214" s="33"/>
      <c r="L214" s="48" t="str">
        <f t="shared" si="11"/>
        <v/>
      </c>
      <c r="M214" s="36" t="s">
        <v>846</v>
      </c>
      <c r="N214" s="21" t="s">
        <v>846</v>
      </c>
      <c r="O214" s="45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14" t="s">
        <v>32</v>
      </c>
      <c r="AC214" s="82">
        <v>5.7999999999999972</v>
      </c>
      <c r="AD214" s="82"/>
      <c r="AE214" s="82"/>
    </row>
    <row r="215" spans="1:31" x14ac:dyDescent="0.25">
      <c r="A215" s="37"/>
      <c r="B215" s="48"/>
      <c r="C215" s="33"/>
      <c r="D215" s="33"/>
      <c r="E215" s="33"/>
      <c r="F215" s="33"/>
      <c r="G215" s="33"/>
      <c r="H215" s="33"/>
      <c r="I215" s="33"/>
      <c r="J215" s="33"/>
      <c r="K215" s="33"/>
      <c r="L215" s="48" t="str">
        <f t="shared" si="11"/>
        <v/>
      </c>
      <c r="M215" s="36" t="s">
        <v>846</v>
      </c>
      <c r="N215" s="21" t="s">
        <v>846</v>
      </c>
      <c r="O215" s="45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14" t="s">
        <v>23</v>
      </c>
      <c r="AC215" s="83" t="s">
        <v>852</v>
      </c>
      <c r="AD215" s="83"/>
      <c r="AE215" s="83"/>
    </row>
    <row r="216" spans="1:31" x14ac:dyDescent="0.25">
      <c r="A216" s="37"/>
      <c r="B216" s="48"/>
      <c r="C216" s="33"/>
      <c r="D216" s="33"/>
      <c r="E216" s="33"/>
      <c r="F216" s="33"/>
      <c r="G216" s="33"/>
      <c r="H216" s="33"/>
      <c r="I216" s="33"/>
      <c r="J216" s="33"/>
      <c r="K216" s="33"/>
      <c r="L216" s="48" t="str">
        <f t="shared" si="11"/>
        <v/>
      </c>
      <c r="M216" s="36" t="s">
        <v>846</v>
      </c>
      <c r="N216" s="21" t="s">
        <v>846</v>
      </c>
      <c r="O216" s="45"/>
      <c r="P216" s="45"/>
      <c r="Q216" s="45"/>
      <c r="R216" s="29"/>
      <c r="S216" s="29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</row>
    <row r="217" spans="1:31" x14ac:dyDescent="0.25">
      <c r="A217" s="37"/>
      <c r="B217" s="48"/>
      <c r="C217" s="33"/>
      <c r="D217" s="33"/>
      <c r="E217" s="33"/>
      <c r="F217" s="33"/>
      <c r="G217" s="33"/>
      <c r="H217" s="33"/>
      <c r="I217" s="33"/>
      <c r="J217" s="33"/>
      <c r="K217" s="33"/>
      <c r="L217" s="48" t="str">
        <f t="shared" si="11"/>
        <v/>
      </c>
      <c r="M217" s="36" t="s">
        <v>846</v>
      </c>
      <c r="N217" s="21" t="s">
        <v>846</v>
      </c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</row>
    <row r="218" spans="1:31" x14ac:dyDescent="0.25">
      <c r="A218" s="37"/>
      <c r="B218" s="48"/>
      <c r="C218" s="33"/>
      <c r="D218" s="33"/>
      <c r="E218" s="33"/>
      <c r="F218" s="33"/>
      <c r="G218" s="33"/>
      <c r="H218" s="33"/>
      <c r="I218" s="33"/>
      <c r="J218" s="33"/>
      <c r="K218" s="33"/>
      <c r="L218" s="48" t="str">
        <f t="shared" si="11"/>
        <v/>
      </c>
      <c r="M218" s="36" t="s">
        <v>846</v>
      </c>
      <c r="N218" s="21" t="s">
        <v>846</v>
      </c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</row>
    <row r="219" spans="1:31" x14ac:dyDescent="0.25">
      <c r="A219" s="37"/>
      <c r="B219" s="48"/>
      <c r="C219" s="33"/>
      <c r="D219" s="33"/>
      <c r="E219" s="33"/>
      <c r="F219" s="33"/>
      <c r="G219" s="33"/>
      <c r="H219" s="33"/>
      <c r="I219" s="33"/>
      <c r="J219" s="33"/>
      <c r="K219" s="33"/>
      <c r="L219" s="48" t="str">
        <f t="shared" si="11"/>
        <v/>
      </c>
      <c r="M219" s="36" t="s">
        <v>846</v>
      </c>
      <c r="N219" s="21" t="s">
        <v>846</v>
      </c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</row>
    <row r="222" spans="1:31" ht="15.75" thickBot="1" x14ac:dyDescent="0.3">
      <c r="A222" s="70" t="s">
        <v>0</v>
      </c>
      <c r="B222" s="70"/>
      <c r="C222" s="70"/>
      <c r="D222" s="70"/>
      <c r="E222" s="70"/>
      <c r="F222" s="70"/>
      <c r="G222" s="70"/>
      <c r="H222" s="70"/>
      <c r="I222" s="70"/>
      <c r="J222" s="67" t="s">
        <v>1</v>
      </c>
      <c r="K222" s="67"/>
      <c r="L222" s="67"/>
      <c r="M222" s="67"/>
      <c r="N222" s="67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45"/>
      <c r="AD222" s="45"/>
      <c r="AE222" s="45"/>
    </row>
    <row r="223" spans="1:31" ht="15.75" thickBot="1" x14ac:dyDescent="0.3">
      <c r="A223" s="71" t="s">
        <v>2</v>
      </c>
      <c r="B223" s="71"/>
      <c r="C223" s="71"/>
      <c r="D223" s="71"/>
      <c r="E223" s="71"/>
      <c r="F223" s="71"/>
      <c r="G223" s="71"/>
      <c r="H223" s="71"/>
      <c r="I223" s="71"/>
      <c r="J223" s="67"/>
      <c r="K223" s="67"/>
      <c r="L223" s="67"/>
      <c r="M223" s="67"/>
      <c r="N223" s="67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45"/>
      <c r="AD223" s="45"/>
      <c r="AE223" s="45"/>
    </row>
    <row r="224" spans="1:31" ht="15.75" thickBot="1" x14ac:dyDescent="0.3">
      <c r="A224" s="72" t="s">
        <v>3</v>
      </c>
      <c r="B224" s="72"/>
      <c r="C224" s="72"/>
      <c r="D224" s="72"/>
      <c r="E224" s="72"/>
      <c r="F224" s="72"/>
      <c r="G224" s="72"/>
      <c r="H224" s="73"/>
      <c r="I224" s="72"/>
      <c r="J224" s="68"/>
      <c r="K224" s="68"/>
      <c r="L224" s="68"/>
      <c r="M224" s="68"/>
      <c r="N224" s="68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45"/>
      <c r="AD224" s="45"/>
      <c r="AE224" s="45"/>
    </row>
    <row r="225" spans="1:31" x14ac:dyDescent="0.25">
      <c r="A225" s="74" t="s">
        <v>22</v>
      </c>
      <c r="B225" s="74"/>
      <c r="C225" s="74"/>
      <c r="D225" s="75" t="s">
        <v>837</v>
      </c>
      <c r="E225" s="75"/>
      <c r="F225" s="75"/>
      <c r="G225" s="76"/>
      <c r="H225" s="40" t="s">
        <v>35</v>
      </c>
      <c r="I225" s="12">
        <v>1</v>
      </c>
      <c r="J225" s="61" t="s">
        <v>33</v>
      </c>
      <c r="K225" s="56">
        <v>8.1</v>
      </c>
      <c r="L225" s="5"/>
      <c r="M225" s="61" t="s">
        <v>36</v>
      </c>
      <c r="N225" s="15">
        <v>43415</v>
      </c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45"/>
      <c r="AD225" s="45"/>
      <c r="AE225" s="45"/>
    </row>
    <row r="226" spans="1:31" x14ac:dyDescent="0.25">
      <c r="A226" s="65" t="s">
        <v>37</v>
      </c>
      <c r="B226" s="65"/>
      <c r="C226" s="65"/>
      <c r="D226" s="77" t="s">
        <v>838</v>
      </c>
      <c r="E226" s="77"/>
      <c r="F226" s="77"/>
      <c r="G226" s="78"/>
      <c r="H226" s="40" t="s">
        <v>38</v>
      </c>
      <c r="I226" s="12">
        <v>1</v>
      </c>
      <c r="J226" s="61" t="s">
        <v>39</v>
      </c>
      <c r="K226" s="58">
        <v>37.700000000000003</v>
      </c>
      <c r="L226" s="65" t="s">
        <v>40</v>
      </c>
      <c r="M226" s="65"/>
      <c r="N226" s="55" t="s">
        <v>864</v>
      </c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45"/>
      <c r="AD226" s="45"/>
      <c r="AE226" s="45"/>
    </row>
    <row r="227" spans="1:31" ht="15.75" thickBot="1" x14ac:dyDescent="0.3">
      <c r="A227" s="66" t="s">
        <v>41</v>
      </c>
      <c r="B227" s="66"/>
      <c r="C227" s="66"/>
      <c r="D227" s="79" t="s">
        <v>856</v>
      </c>
      <c r="E227" s="79"/>
      <c r="F227" s="79"/>
      <c r="G227" s="80"/>
      <c r="H227" s="33"/>
      <c r="I227" s="45"/>
      <c r="J227" s="1"/>
      <c r="K227" s="45"/>
      <c r="L227" s="4"/>
      <c r="M227" s="16" t="s">
        <v>42</v>
      </c>
      <c r="N227" s="57">
        <v>305.37</v>
      </c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45"/>
      <c r="AD227" s="45"/>
      <c r="AE227" s="45"/>
    </row>
    <row r="228" spans="1:31" x14ac:dyDescent="0.25">
      <c r="A228" s="64" t="s">
        <v>4</v>
      </c>
      <c r="B228" s="64"/>
      <c r="C228" s="59"/>
      <c r="D228" s="64" t="s">
        <v>833</v>
      </c>
      <c r="E228" s="69"/>
      <c r="F228" s="69"/>
      <c r="G228" s="69"/>
      <c r="H228" s="64" t="s">
        <v>5</v>
      </c>
      <c r="I228" s="69"/>
      <c r="J228" s="64"/>
      <c r="K228" s="69"/>
      <c r="L228" s="69" t="s">
        <v>43</v>
      </c>
      <c r="M228" s="69"/>
      <c r="N228" s="69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50"/>
      <c r="AB228" s="50"/>
      <c r="AC228" s="45"/>
      <c r="AD228" s="45"/>
      <c r="AE228" s="45"/>
    </row>
    <row r="229" spans="1:31" x14ac:dyDescent="0.25">
      <c r="A229" s="64" t="s">
        <v>6</v>
      </c>
      <c r="B229" s="64"/>
      <c r="C229" s="59"/>
      <c r="D229" s="64" t="s">
        <v>7</v>
      </c>
      <c r="E229" s="64"/>
      <c r="F229" s="64"/>
      <c r="G229" s="64"/>
      <c r="H229" s="64" t="s">
        <v>8</v>
      </c>
      <c r="I229" s="64"/>
      <c r="J229" s="64"/>
      <c r="K229" s="64"/>
      <c r="L229" s="64" t="s">
        <v>44</v>
      </c>
      <c r="M229" s="64"/>
      <c r="N229" s="64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45"/>
      <c r="AD229" s="45"/>
      <c r="AE229" s="45"/>
    </row>
    <row r="230" spans="1:31" x14ac:dyDescent="0.25">
      <c r="A230" s="64" t="s">
        <v>9</v>
      </c>
      <c r="B230" s="64"/>
      <c r="C230" s="59"/>
      <c r="D230" s="64" t="s">
        <v>10</v>
      </c>
      <c r="E230" s="64"/>
      <c r="F230" s="64"/>
      <c r="G230" s="64"/>
      <c r="H230" s="64" t="s">
        <v>11</v>
      </c>
      <c r="I230" s="64"/>
      <c r="J230" s="64"/>
      <c r="K230" s="64"/>
      <c r="L230" s="59" t="s">
        <v>45</v>
      </c>
      <c r="M230" s="59"/>
      <c r="N230" s="59"/>
      <c r="O230" s="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</row>
    <row r="231" spans="1:31" x14ac:dyDescent="0.25">
      <c r="A231" s="3" t="s">
        <v>12</v>
      </c>
      <c r="B231" s="3"/>
      <c r="C231" s="59"/>
      <c r="D231" s="64" t="s">
        <v>13</v>
      </c>
      <c r="E231" s="64"/>
      <c r="F231" s="64"/>
      <c r="G231" s="64"/>
      <c r="H231" s="64" t="s">
        <v>46</v>
      </c>
      <c r="I231" s="64"/>
      <c r="J231" s="64"/>
      <c r="K231" s="64"/>
      <c r="L231" s="59" t="s">
        <v>47</v>
      </c>
      <c r="M231" s="59"/>
      <c r="N231" s="59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</row>
    <row r="232" spans="1:31" x14ac:dyDescent="0.25">
      <c r="A232" s="64" t="s">
        <v>15</v>
      </c>
      <c r="B232" s="64"/>
      <c r="C232" s="59"/>
      <c r="D232" s="64" t="s">
        <v>16</v>
      </c>
      <c r="E232" s="64"/>
      <c r="F232" s="64"/>
      <c r="G232" s="64"/>
      <c r="H232" s="64" t="s">
        <v>48</v>
      </c>
      <c r="I232" s="64"/>
      <c r="J232" s="64"/>
      <c r="K232" s="64"/>
      <c r="L232" s="59" t="s">
        <v>14</v>
      </c>
      <c r="M232" s="59"/>
      <c r="N232" s="59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</row>
    <row r="233" spans="1:31" ht="25.5" x14ac:dyDescent="0.25">
      <c r="A233" s="60" t="s">
        <v>17</v>
      </c>
      <c r="B233" s="84" t="s">
        <v>18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60" t="s">
        <v>19</v>
      </c>
      <c r="M233" s="60" t="s">
        <v>20</v>
      </c>
      <c r="N233" s="18" t="s">
        <v>21</v>
      </c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</row>
    <row r="234" spans="1:31" ht="15.75" thickBot="1" x14ac:dyDescent="0.3">
      <c r="A234" s="49" t="s">
        <v>850</v>
      </c>
      <c r="B234" s="48">
        <v>1</v>
      </c>
      <c r="C234" s="48">
        <v>1</v>
      </c>
      <c r="D234" s="48"/>
      <c r="E234" s="48"/>
      <c r="F234" s="48"/>
      <c r="G234" s="48"/>
      <c r="H234" s="48"/>
      <c r="I234" s="48"/>
      <c r="J234" s="48"/>
      <c r="K234" s="48"/>
      <c r="L234" s="48">
        <f t="shared" ref="L234:L240" si="12">IF(B234="","",SUM(B234:K234))</f>
        <v>2</v>
      </c>
      <c r="M234" s="36">
        <v>0.65494318367881588</v>
      </c>
      <c r="N234" s="21">
        <v>28.2</v>
      </c>
      <c r="O234" s="45"/>
      <c r="P234" s="85" t="s">
        <v>24</v>
      </c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</row>
    <row r="235" spans="1:31" ht="15.75" thickBot="1" x14ac:dyDescent="0.3">
      <c r="A235" s="49" t="s">
        <v>841</v>
      </c>
      <c r="B235" s="48">
        <f>37.7*0.8</f>
        <v>30.160000000000004</v>
      </c>
      <c r="C235" s="48">
        <f>27*1.5</f>
        <v>40.5</v>
      </c>
      <c r="D235" s="48">
        <f>1.5</f>
        <v>1.5</v>
      </c>
      <c r="E235" s="48"/>
      <c r="F235" s="48"/>
      <c r="G235" s="48"/>
      <c r="H235" s="48"/>
      <c r="I235" s="48"/>
      <c r="J235" s="48"/>
      <c r="K235" s="48"/>
      <c r="L235" s="48">
        <f t="shared" si="12"/>
        <v>72.16</v>
      </c>
      <c r="M235" s="36">
        <v>23.630350067131676</v>
      </c>
      <c r="N235" s="21">
        <v>58</v>
      </c>
      <c r="O235" s="45"/>
      <c r="P235" s="86" t="s">
        <v>25</v>
      </c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</row>
    <row r="236" spans="1:31" ht="15.75" thickBot="1" x14ac:dyDescent="0.3">
      <c r="A236" s="49" t="s">
        <v>858</v>
      </c>
      <c r="B236" s="48">
        <v>2.9</v>
      </c>
      <c r="C236" s="48"/>
      <c r="D236" s="48"/>
      <c r="E236" s="48"/>
      <c r="F236" s="48"/>
      <c r="G236" s="48"/>
      <c r="H236" s="48"/>
      <c r="I236" s="48"/>
      <c r="J236" s="48"/>
      <c r="K236" s="48"/>
      <c r="L236" s="48">
        <f t="shared" si="12"/>
        <v>2.9</v>
      </c>
      <c r="M236" s="36">
        <v>0.94966761633428298</v>
      </c>
      <c r="N236" s="21">
        <v>9.1</v>
      </c>
      <c r="O236" s="45"/>
      <c r="P236" s="87" t="s">
        <v>49</v>
      </c>
      <c r="Q236" s="87"/>
      <c r="R236" s="87"/>
      <c r="S236" s="87"/>
      <c r="T236" s="88" t="s">
        <v>864</v>
      </c>
      <c r="U236" s="88"/>
      <c r="V236" s="88"/>
      <c r="W236" s="88"/>
      <c r="X236" s="22" t="s">
        <v>50</v>
      </c>
      <c r="Y236" s="22"/>
      <c r="Z236" s="45"/>
      <c r="AA236" s="89">
        <v>305.37</v>
      </c>
      <c r="AB236" s="89"/>
      <c r="AC236" s="89"/>
      <c r="AD236" s="89"/>
      <c r="AE236" s="89"/>
    </row>
    <row r="237" spans="1:31" x14ac:dyDescent="0.25">
      <c r="A237" s="49" t="s">
        <v>865</v>
      </c>
      <c r="B237" s="48">
        <f>3*3</f>
        <v>9</v>
      </c>
      <c r="C237" s="48"/>
      <c r="D237" s="48"/>
      <c r="E237" s="48"/>
      <c r="F237" s="48"/>
      <c r="G237" s="48"/>
      <c r="H237" s="48"/>
      <c r="I237" s="48"/>
      <c r="J237" s="48"/>
      <c r="K237" s="48"/>
      <c r="L237" s="48">
        <f t="shared" si="12"/>
        <v>9</v>
      </c>
      <c r="M237" s="36">
        <v>2.9472443265546713</v>
      </c>
      <c r="N237" s="21">
        <v>8.1</v>
      </c>
      <c r="O237" s="45"/>
      <c r="P237" s="23" t="s">
        <v>26</v>
      </c>
      <c r="Q237" s="81" t="s">
        <v>27</v>
      </c>
      <c r="R237" s="81"/>
      <c r="S237" s="81"/>
      <c r="T237" s="81"/>
      <c r="U237" s="81"/>
      <c r="V237" s="81"/>
      <c r="W237" s="81"/>
      <c r="X237" s="81"/>
      <c r="Y237" s="81"/>
      <c r="Z237" s="81"/>
      <c r="AA237" s="23"/>
      <c r="AB237" s="2"/>
      <c r="AC237" s="28" t="s">
        <v>28</v>
      </c>
      <c r="AD237" s="28" t="s">
        <v>29</v>
      </c>
      <c r="AE237" s="28" t="s">
        <v>30</v>
      </c>
    </row>
    <row r="238" spans="1:31" x14ac:dyDescent="0.25">
      <c r="A238" s="37" t="s">
        <v>851</v>
      </c>
      <c r="B238" s="51">
        <f>1.3*1.3</f>
        <v>1.6900000000000002</v>
      </c>
      <c r="C238" s="51">
        <f>0.5*4.9</f>
        <v>2.4500000000000002</v>
      </c>
      <c r="D238" s="51"/>
      <c r="E238" s="48"/>
      <c r="F238" s="48"/>
      <c r="G238" s="48"/>
      <c r="H238" s="48"/>
      <c r="I238" s="48"/>
      <c r="J238" s="48"/>
      <c r="K238" s="48"/>
      <c r="L238" s="48">
        <f t="shared" si="12"/>
        <v>4.1400000000000006</v>
      </c>
      <c r="M238" s="36">
        <v>1.355732390215149</v>
      </c>
      <c r="N238" s="21">
        <v>21.9</v>
      </c>
      <c r="O238" s="45"/>
      <c r="P238" s="46">
        <v>1</v>
      </c>
      <c r="Q238" s="24">
        <v>58</v>
      </c>
      <c r="R238" s="24">
        <v>43.1</v>
      </c>
      <c r="S238" s="24">
        <v>28.2</v>
      </c>
      <c r="T238" s="24">
        <v>21.9</v>
      </c>
      <c r="U238" s="24">
        <v>8.1900000000000031</v>
      </c>
      <c r="V238" s="24">
        <v>7.2900000000000027</v>
      </c>
      <c r="W238" s="24"/>
      <c r="X238" s="24"/>
      <c r="Y238" s="24"/>
      <c r="Z238" s="24"/>
      <c r="AA238" s="24"/>
      <c r="AB238" s="24"/>
      <c r="AC238" s="9">
        <v>166.67999999999998</v>
      </c>
      <c r="AD238" s="27">
        <v>6</v>
      </c>
      <c r="AE238" s="9">
        <v>79.8</v>
      </c>
    </row>
    <row r="239" spans="1:31" x14ac:dyDescent="0.25">
      <c r="A239" s="49" t="s">
        <v>845</v>
      </c>
      <c r="B239" s="48">
        <v>305.37</v>
      </c>
      <c r="C239" s="48"/>
      <c r="D239" s="48"/>
      <c r="E239" s="48"/>
      <c r="F239" s="48"/>
      <c r="G239" s="48"/>
      <c r="H239" s="48"/>
      <c r="I239" s="48"/>
      <c r="J239" s="33"/>
      <c r="K239" s="33"/>
      <c r="L239" s="48">
        <f t="shared" si="12"/>
        <v>305.37</v>
      </c>
      <c r="M239" s="36">
        <v>100</v>
      </c>
      <c r="N239" s="21">
        <v>43.1</v>
      </c>
      <c r="O239" s="45"/>
      <c r="P239" s="46">
        <v>2</v>
      </c>
      <c r="Q239" s="24">
        <v>58</v>
      </c>
      <c r="R239" s="24">
        <v>43.1</v>
      </c>
      <c r="S239" s="24">
        <v>28.2</v>
      </c>
      <c r="T239" s="24">
        <v>21.9</v>
      </c>
      <c r="U239" s="24">
        <v>8.1900000000000031</v>
      </c>
      <c r="V239" s="24">
        <v>2</v>
      </c>
      <c r="W239" s="24"/>
      <c r="X239" s="24"/>
      <c r="Y239" s="24"/>
      <c r="Z239" s="24"/>
      <c r="AA239" s="24"/>
      <c r="AB239" s="24"/>
      <c r="AC239" s="9">
        <v>161.38999999999999</v>
      </c>
      <c r="AD239" s="27">
        <v>5</v>
      </c>
      <c r="AE239" s="9">
        <v>84</v>
      </c>
    </row>
    <row r="240" spans="1:31" x14ac:dyDescent="0.25">
      <c r="A240" s="49"/>
      <c r="B240" s="48"/>
      <c r="C240" s="48"/>
      <c r="D240" s="48"/>
      <c r="E240" s="51"/>
      <c r="F240" s="48"/>
      <c r="G240" s="48"/>
      <c r="H240" s="48"/>
      <c r="I240" s="48"/>
      <c r="J240" s="33"/>
      <c r="K240" s="33"/>
      <c r="L240" s="48" t="str">
        <f t="shared" si="12"/>
        <v/>
      </c>
      <c r="M240" s="36" t="s">
        <v>846</v>
      </c>
      <c r="N240" s="21" t="s">
        <v>846</v>
      </c>
      <c r="O240" s="45"/>
      <c r="P240" s="46">
        <v>3</v>
      </c>
      <c r="Q240" s="24">
        <v>58</v>
      </c>
      <c r="R240" s="24">
        <v>43.1</v>
      </c>
      <c r="S240" s="24">
        <v>28.2</v>
      </c>
      <c r="T240" s="24">
        <v>21.9</v>
      </c>
      <c r="U240" s="24">
        <v>2</v>
      </c>
      <c r="V240" s="24">
        <v>2</v>
      </c>
      <c r="W240" s="24"/>
      <c r="X240" s="24"/>
      <c r="Y240" s="24"/>
      <c r="Z240" s="24"/>
      <c r="AA240" s="24"/>
      <c r="AB240" s="24"/>
      <c r="AC240" s="9">
        <v>155.19999999999999</v>
      </c>
      <c r="AD240" s="27">
        <v>4</v>
      </c>
      <c r="AE240" s="9">
        <v>84.8</v>
      </c>
    </row>
    <row r="241" spans="1:31" x14ac:dyDescent="0.25">
      <c r="A241" s="46"/>
      <c r="B241" s="47"/>
      <c r="C241" s="47"/>
      <c r="D241" s="47"/>
      <c r="E241" s="48"/>
      <c r="F241" s="48"/>
      <c r="G241" s="48"/>
      <c r="H241" s="48"/>
      <c r="I241" s="48"/>
      <c r="J241" s="33"/>
      <c r="K241" s="33"/>
      <c r="L241" s="48" t="str">
        <f t="shared" ref="L241:L256" si="13">IF(B241="","",SUM(B241:K241))</f>
        <v/>
      </c>
      <c r="M241" s="36" t="s">
        <v>846</v>
      </c>
      <c r="N241" s="21" t="s">
        <v>846</v>
      </c>
      <c r="O241" s="45"/>
      <c r="P241" s="46">
        <v>4</v>
      </c>
      <c r="Q241" s="24">
        <v>58</v>
      </c>
      <c r="R241" s="24">
        <v>43.1</v>
      </c>
      <c r="S241" s="24">
        <v>28.2</v>
      </c>
      <c r="T241" s="24">
        <v>2</v>
      </c>
      <c r="U241" s="24">
        <v>2</v>
      </c>
      <c r="V241" s="24">
        <v>2</v>
      </c>
      <c r="W241" s="24"/>
      <c r="X241" s="24"/>
      <c r="Y241" s="24"/>
      <c r="Z241" s="24"/>
      <c r="AA241" s="24"/>
      <c r="AB241" s="24"/>
      <c r="AC241" s="9">
        <v>135.29999999999998</v>
      </c>
      <c r="AD241" s="27">
        <v>3</v>
      </c>
      <c r="AE241" s="9">
        <v>81.7</v>
      </c>
    </row>
    <row r="242" spans="1:31" x14ac:dyDescent="0.25">
      <c r="A242" s="46"/>
      <c r="B242" s="47"/>
      <c r="C242" s="47"/>
      <c r="D242" s="47"/>
      <c r="E242" s="48"/>
      <c r="F242" s="48"/>
      <c r="G242" s="48"/>
      <c r="H242" s="48"/>
      <c r="I242" s="48"/>
      <c r="J242" s="33"/>
      <c r="K242" s="33"/>
      <c r="L242" s="48" t="str">
        <f t="shared" si="13"/>
        <v/>
      </c>
      <c r="M242" s="36" t="s">
        <v>846</v>
      </c>
      <c r="N242" s="21" t="s">
        <v>846</v>
      </c>
      <c r="O242" s="45"/>
      <c r="P242" s="46">
        <v>5</v>
      </c>
      <c r="Q242" s="24">
        <v>58</v>
      </c>
      <c r="R242" s="24">
        <v>43.1</v>
      </c>
      <c r="S242" s="24">
        <v>2</v>
      </c>
      <c r="T242" s="24">
        <v>2</v>
      </c>
      <c r="U242" s="24">
        <v>2</v>
      </c>
      <c r="V242" s="24">
        <v>2</v>
      </c>
      <c r="W242" s="24"/>
      <c r="X242" s="24"/>
      <c r="Y242" s="24"/>
      <c r="Z242" s="24"/>
      <c r="AA242" s="24"/>
      <c r="AB242" s="24"/>
      <c r="AC242" s="9">
        <v>109.1</v>
      </c>
      <c r="AD242" s="27">
        <v>2</v>
      </c>
      <c r="AE242" s="9">
        <v>73.599999999999994</v>
      </c>
    </row>
    <row r="243" spans="1:31" x14ac:dyDescent="0.25">
      <c r="A243" s="46"/>
      <c r="B243" s="47"/>
      <c r="C243" s="47"/>
      <c r="D243" s="47"/>
      <c r="E243" s="48"/>
      <c r="F243" s="48"/>
      <c r="G243" s="48"/>
      <c r="H243" s="48"/>
      <c r="I243" s="48"/>
      <c r="J243" s="33"/>
      <c r="K243" s="33"/>
      <c r="L243" s="48" t="str">
        <f t="shared" si="13"/>
        <v/>
      </c>
      <c r="M243" s="36" t="s">
        <v>846</v>
      </c>
      <c r="N243" s="21" t="s">
        <v>846</v>
      </c>
      <c r="O243" s="45"/>
      <c r="P243" s="46">
        <v>6</v>
      </c>
      <c r="Q243" s="24">
        <v>58</v>
      </c>
      <c r="R243" s="24">
        <v>2</v>
      </c>
      <c r="S243" s="24">
        <v>2</v>
      </c>
      <c r="T243" s="24">
        <v>2</v>
      </c>
      <c r="U243" s="24">
        <v>2</v>
      </c>
      <c r="V243" s="24">
        <v>2</v>
      </c>
      <c r="W243" s="24"/>
      <c r="X243" s="24"/>
      <c r="Y243" s="24"/>
      <c r="Z243" s="24"/>
      <c r="AA243" s="24"/>
      <c r="AB243" s="24"/>
      <c r="AC243" s="9">
        <v>68</v>
      </c>
      <c r="AD243" s="27">
        <v>1</v>
      </c>
      <c r="AE243" s="9">
        <v>68</v>
      </c>
    </row>
    <row r="244" spans="1:31" x14ac:dyDescent="0.25">
      <c r="A244" s="37"/>
      <c r="B244" s="48"/>
      <c r="C244" s="46"/>
      <c r="D244" s="33"/>
      <c r="E244" s="47"/>
      <c r="F244" s="47"/>
      <c r="G244" s="47"/>
      <c r="H244" s="47"/>
      <c r="I244" s="47"/>
      <c r="J244" s="33"/>
      <c r="K244" s="33"/>
      <c r="L244" s="48" t="str">
        <f t="shared" si="13"/>
        <v/>
      </c>
      <c r="M244" s="36" t="s">
        <v>846</v>
      </c>
      <c r="N244" s="21" t="s">
        <v>846</v>
      </c>
      <c r="O244" s="45"/>
      <c r="P244" s="46">
        <v>7</v>
      </c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9" t="s">
        <v>846</v>
      </c>
      <c r="AD244" s="27"/>
      <c r="AE244" s="9"/>
    </row>
    <row r="245" spans="1:31" x14ac:dyDescent="0.25">
      <c r="A245" s="37"/>
      <c r="B245" s="48"/>
      <c r="C245" s="46"/>
      <c r="D245" s="33"/>
      <c r="E245" s="47"/>
      <c r="F245" s="47"/>
      <c r="G245" s="47"/>
      <c r="H245" s="47"/>
      <c r="I245" s="47"/>
      <c r="J245" s="33"/>
      <c r="K245" s="33"/>
      <c r="L245" s="48" t="str">
        <f t="shared" si="13"/>
        <v/>
      </c>
      <c r="M245" s="36" t="s">
        <v>846</v>
      </c>
      <c r="N245" s="21" t="s">
        <v>846</v>
      </c>
      <c r="O245" s="45"/>
      <c r="P245" s="46">
        <v>8</v>
      </c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9" t="s">
        <v>846</v>
      </c>
      <c r="AD245" s="27"/>
      <c r="AE245" s="9"/>
    </row>
    <row r="246" spans="1:31" x14ac:dyDescent="0.25">
      <c r="A246" s="37"/>
      <c r="B246" s="48"/>
      <c r="C246" s="46"/>
      <c r="D246" s="33"/>
      <c r="E246" s="33"/>
      <c r="F246" s="33"/>
      <c r="G246" s="33"/>
      <c r="H246" s="33"/>
      <c r="I246" s="33"/>
      <c r="J246" s="33"/>
      <c r="K246" s="33"/>
      <c r="L246" s="48" t="str">
        <f t="shared" si="13"/>
        <v/>
      </c>
      <c r="M246" s="36" t="s">
        <v>846</v>
      </c>
      <c r="N246" s="21" t="s">
        <v>846</v>
      </c>
      <c r="O246" s="45"/>
      <c r="P246" s="46">
        <v>9</v>
      </c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9" t="s">
        <v>846</v>
      </c>
      <c r="AD246" s="27"/>
      <c r="AE246" s="9"/>
    </row>
    <row r="247" spans="1:31" x14ac:dyDescent="0.25">
      <c r="A247" s="37"/>
      <c r="B247" s="48"/>
      <c r="C247" s="33"/>
      <c r="D247" s="33"/>
      <c r="E247" s="33"/>
      <c r="F247" s="33"/>
      <c r="G247" s="33"/>
      <c r="H247" s="33"/>
      <c r="I247" s="33"/>
      <c r="J247" s="33"/>
      <c r="K247" s="33"/>
      <c r="L247" s="48" t="str">
        <f t="shared" si="13"/>
        <v/>
      </c>
      <c r="M247" s="36" t="s">
        <v>846</v>
      </c>
      <c r="N247" s="21" t="s">
        <v>846</v>
      </c>
      <c r="O247" s="45"/>
      <c r="P247" s="46">
        <v>10</v>
      </c>
      <c r="Q247" s="24"/>
      <c r="R247" s="24"/>
      <c r="S247" s="25"/>
      <c r="T247" s="25"/>
      <c r="U247" s="25"/>
      <c r="V247" s="25"/>
      <c r="W247" s="25"/>
      <c r="X247" s="25"/>
      <c r="Y247" s="25"/>
      <c r="Z247" s="25"/>
      <c r="AA247" s="25"/>
      <c r="AB247" s="8"/>
      <c r="AC247" s="9" t="s">
        <v>846</v>
      </c>
      <c r="AD247" s="8"/>
      <c r="AE247" s="9"/>
    </row>
    <row r="248" spans="1:31" x14ac:dyDescent="0.25">
      <c r="A248" s="37"/>
      <c r="B248" s="48"/>
      <c r="C248" s="33"/>
      <c r="D248" s="33"/>
      <c r="E248" s="33"/>
      <c r="F248" s="33"/>
      <c r="G248" s="33"/>
      <c r="H248" s="33"/>
      <c r="I248" s="33"/>
      <c r="J248" s="33"/>
      <c r="K248" s="33"/>
      <c r="L248" s="48" t="str">
        <f t="shared" si="13"/>
        <v/>
      </c>
      <c r="M248" s="36" t="s">
        <v>846</v>
      </c>
      <c r="N248" s="21" t="s">
        <v>846</v>
      </c>
      <c r="O248" s="45"/>
      <c r="P248" s="46">
        <v>11</v>
      </c>
      <c r="Q248" s="24"/>
      <c r="R248" s="24"/>
      <c r="S248" s="25"/>
      <c r="T248" s="25"/>
      <c r="U248" s="25"/>
      <c r="V248" s="25"/>
      <c r="W248" s="25"/>
      <c r="X248" s="25"/>
      <c r="Y248" s="25"/>
      <c r="Z248" s="25"/>
      <c r="AA248" s="25"/>
      <c r="AB248" s="8"/>
      <c r="AC248" s="9" t="s">
        <v>846</v>
      </c>
      <c r="AD248" s="8"/>
      <c r="AE248" s="9"/>
    </row>
    <row r="249" spans="1:31" x14ac:dyDescent="0.25">
      <c r="A249" s="37"/>
      <c r="B249" s="48"/>
      <c r="C249" s="33"/>
      <c r="D249" s="33"/>
      <c r="E249" s="33"/>
      <c r="F249" s="33"/>
      <c r="G249" s="33"/>
      <c r="H249" s="33"/>
      <c r="I249" s="33"/>
      <c r="J249" s="33"/>
      <c r="K249" s="33"/>
      <c r="L249" s="48" t="str">
        <f t="shared" si="13"/>
        <v/>
      </c>
      <c r="M249" s="36" t="s">
        <v>846</v>
      </c>
      <c r="N249" s="21" t="s">
        <v>846</v>
      </c>
      <c r="O249" s="45"/>
      <c r="P249" s="46">
        <v>12</v>
      </c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8"/>
      <c r="AC249" s="9" t="s">
        <v>846</v>
      </c>
      <c r="AD249" s="8"/>
      <c r="AE249" s="9"/>
    </row>
    <row r="250" spans="1:31" x14ac:dyDescent="0.25">
      <c r="A250" s="37"/>
      <c r="B250" s="48"/>
      <c r="C250" s="33"/>
      <c r="D250" s="33"/>
      <c r="E250" s="33"/>
      <c r="F250" s="33"/>
      <c r="G250" s="33"/>
      <c r="H250" s="33"/>
      <c r="I250" s="33"/>
      <c r="J250" s="33"/>
      <c r="K250" s="33"/>
      <c r="L250" s="48" t="str">
        <f t="shared" si="13"/>
        <v/>
      </c>
      <c r="M250" s="36" t="s">
        <v>846</v>
      </c>
      <c r="N250" s="21" t="s">
        <v>846</v>
      </c>
      <c r="O250" s="45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6" t="s">
        <v>31</v>
      </c>
      <c r="AC250" s="82">
        <v>84.8</v>
      </c>
      <c r="AD250" s="82"/>
      <c r="AE250" s="82"/>
    </row>
    <row r="251" spans="1:31" x14ac:dyDescent="0.25">
      <c r="A251" s="37"/>
      <c r="B251" s="48"/>
      <c r="C251" s="33"/>
      <c r="D251" s="33"/>
      <c r="E251" s="33"/>
      <c r="F251" s="33"/>
      <c r="G251" s="33"/>
      <c r="H251" s="33"/>
      <c r="I251" s="33"/>
      <c r="J251" s="33"/>
      <c r="K251" s="33"/>
      <c r="L251" s="48" t="str">
        <f t="shared" si="13"/>
        <v/>
      </c>
      <c r="M251" s="36" t="s">
        <v>846</v>
      </c>
      <c r="N251" s="21" t="s">
        <v>846</v>
      </c>
      <c r="O251" s="45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14" t="s">
        <v>32</v>
      </c>
      <c r="AC251" s="82">
        <v>15.200000000000003</v>
      </c>
      <c r="AD251" s="82"/>
      <c r="AE251" s="82"/>
    </row>
    <row r="252" spans="1:31" x14ac:dyDescent="0.25">
      <c r="A252" s="37"/>
      <c r="B252" s="48"/>
      <c r="C252" s="33"/>
      <c r="D252" s="33"/>
      <c r="E252" s="33"/>
      <c r="F252" s="33"/>
      <c r="G252" s="33"/>
      <c r="H252" s="33"/>
      <c r="I252" s="33"/>
      <c r="J252" s="33"/>
      <c r="K252" s="33"/>
      <c r="L252" s="48" t="str">
        <f t="shared" si="13"/>
        <v/>
      </c>
      <c r="M252" s="36" t="s">
        <v>846</v>
      </c>
      <c r="N252" s="21" t="s">
        <v>846</v>
      </c>
      <c r="O252" s="45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14" t="s">
        <v>23</v>
      </c>
      <c r="AC252" s="83" t="s">
        <v>847</v>
      </c>
      <c r="AD252" s="83"/>
      <c r="AE252" s="83"/>
    </row>
    <row r="253" spans="1:31" x14ac:dyDescent="0.25">
      <c r="A253" s="37"/>
      <c r="B253" s="48"/>
      <c r="C253" s="33"/>
      <c r="D253" s="33"/>
      <c r="E253" s="33"/>
      <c r="F253" s="33"/>
      <c r="G253" s="33"/>
      <c r="H253" s="33"/>
      <c r="I253" s="33"/>
      <c r="J253" s="33"/>
      <c r="K253" s="33"/>
      <c r="L253" s="48" t="str">
        <f t="shared" si="13"/>
        <v/>
      </c>
      <c r="M253" s="36" t="s">
        <v>846</v>
      </c>
      <c r="N253" s="21" t="s">
        <v>846</v>
      </c>
      <c r="O253" s="45"/>
      <c r="P253" s="45"/>
      <c r="Q253" s="45"/>
      <c r="R253" s="29"/>
      <c r="S253" s="29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</row>
    <row r="254" spans="1:31" x14ac:dyDescent="0.25">
      <c r="A254" s="37"/>
      <c r="B254" s="48"/>
      <c r="C254" s="33"/>
      <c r="D254" s="33"/>
      <c r="E254" s="33"/>
      <c r="F254" s="33"/>
      <c r="G254" s="33"/>
      <c r="H254" s="33"/>
      <c r="I254" s="33"/>
      <c r="J254" s="33"/>
      <c r="K254" s="33"/>
      <c r="L254" s="48" t="str">
        <f t="shared" si="13"/>
        <v/>
      </c>
      <c r="M254" s="36" t="s">
        <v>846</v>
      </c>
      <c r="N254" s="21" t="s">
        <v>846</v>
      </c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</row>
    <row r="255" spans="1:31" x14ac:dyDescent="0.25">
      <c r="A255" s="37"/>
      <c r="B255" s="48"/>
      <c r="C255" s="33"/>
      <c r="D255" s="33"/>
      <c r="E255" s="33"/>
      <c r="F255" s="33"/>
      <c r="G255" s="33"/>
      <c r="H255" s="33"/>
      <c r="I255" s="33"/>
      <c r="J255" s="33"/>
      <c r="K255" s="33"/>
      <c r="L255" s="48" t="str">
        <f t="shared" si="13"/>
        <v/>
      </c>
      <c r="M255" s="36" t="s">
        <v>846</v>
      </c>
      <c r="N255" s="21" t="s">
        <v>846</v>
      </c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</row>
    <row r="256" spans="1:31" x14ac:dyDescent="0.25">
      <c r="A256" s="37"/>
      <c r="B256" s="48"/>
      <c r="C256" s="33"/>
      <c r="D256" s="33"/>
      <c r="E256" s="33"/>
      <c r="F256" s="33"/>
      <c r="G256" s="33"/>
      <c r="H256" s="33"/>
      <c r="I256" s="33"/>
      <c r="J256" s="33"/>
      <c r="K256" s="33"/>
      <c r="L256" s="48" t="str">
        <f t="shared" si="13"/>
        <v/>
      </c>
      <c r="M256" s="36" t="s">
        <v>846</v>
      </c>
      <c r="N256" s="21" t="s">
        <v>846</v>
      </c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</row>
  </sheetData>
  <mergeCells count="259">
    <mergeCell ref="Q237:Z237"/>
    <mergeCell ref="AC250:AE250"/>
    <mergeCell ref="AC251:AE251"/>
    <mergeCell ref="AC252:AE252"/>
    <mergeCell ref="B233:K233"/>
    <mergeCell ref="P234:AE234"/>
    <mergeCell ref="P235:AE235"/>
    <mergeCell ref="P236:S236"/>
    <mergeCell ref="T236:W236"/>
    <mergeCell ref="AA236:AE236"/>
    <mergeCell ref="A230:B230"/>
    <mergeCell ref="D230:G230"/>
    <mergeCell ref="H230:K230"/>
    <mergeCell ref="D231:G231"/>
    <mergeCell ref="H231:K231"/>
    <mergeCell ref="A232:B232"/>
    <mergeCell ref="D232:G232"/>
    <mergeCell ref="H232:K232"/>
    <mergeCell ref="A228:B228"/>
    <mergeCell ref="D228:G228"/>
    <mergeCell ref="H228:K228"/>
    <mergeCell ref="L228:N228"/>
    <mergeCell ref="A229:B229"/>
    <mergeCell ref="D229:G229"/>
    <mergeCell ref="H229:K229"/>
    <mergeCell ref="L229:N229"/>
    <mergeCell ref="A225:C225"/>
    <mergeCell ref="D225:G225"/>
    <mergeCell ref="A226:C226"/>
    <mergeCell ref="D226:G226"/>
    <mergeCell ref="L226:M226"/>
    <mergeCell ref="A227:C227"/>
    <mergeCell ref="D227:G227"/>
    <mergeCell ref="Q200:Z200"/>
    <mergeCell ref="AC213:AE213"/>
    <mergeCell ref="AC214:AE214"/>
    <mergeCell ref="AC215:AE215"/>
    <mergeCell ref="A222:I222"/>
    <mergeCell ref="J222:N224"/>
    <mergeCell ref="A223:I223"/>
    <mergeCell ref="A224:I224"/>
    <mergeCell ref="B196:K196"/>
    <mergeCell ref="P197:AE197"/>
    <mergeCell ref="P198:AE198"/>
    <mergeCell ref="P199:S199"/>
    <mergeCell ref="T199:W199"/>
    <mergeCell ref="AA199:AE199"/>
    <mergeCell ref="A193:B193"/>
    <mergeCell ref="D193:G193"/>
    <mergeCell ref="H193:K193"/>
    <mergeCell ref="D194:G194"/>
    <mergeCell ref="H194:K194"/>
    <mergeCell ref="A195:B195"/>
    <mergeCell ref="D195:G195"/>
    <mergeCell ref="H195:K195"/>
    <mergeCell ref="A191:B191"/>
    <mergeCell ref="D191:G191"/>
    <mergeCell ref="H191:K191"/>
    <mergeCell ref="L191:N191"/>
    <mergeCell ref="A192:B192"/>
    <mergeCell ref="D192:G192"/>
    <mergeCell ref="H192:K192"/>
    <mergeCell ref="L192:N192"/>
    <mergeCell ref="A188:C188"/>
    <mergeCell ref="D188:G188"/>
    <mergeCell ref="A189:C189"/>
    <mergeCell ref="D189:G189"/>
    <mergeCell ref="L189:M189"/>
    <mergeCell ref="A190:C190"/>
    <mergeCell ref="D190:G190"/>
    <mergeCell ref="Q163:Z163"/>
    <mergeCell ref="AC176:AE176"/>
    <mergeCell ref="AC177:AE177"/>
    <mergeCell ref="AC178:AE178"/>
    <mergeCell ref="A185:I185"/>
    <mergeCell ref="J185:N187"/>
    <mergeCell ref="A186:I186"/>
    <mergeCell ref="A187:I187"/>
    <mergeCell ref="B159:K159"/>
    <mergeCell ref="P160:AE160"/>
    <mergeCell ref="P161:AE161"/>
    <mergeCell ref="P162:S162"/>
    <mergeCell ref="T162:W162"/>
    <mergeCell ref="AA162:AE162"/>
    <mergeCell ref="A156:B156"/>
    <mergeCell ref="D156:G156"/>
    <mergeCell ref="H156:K156"/>
    <mergeCell ref="D157:G157"/>
    <mergeCell ref="H157:K157"/>
    <mergeCell ref="A158:B158"/>
    <mergeCell ref="D158:G158"/>
    <mergeCell ref="H158:K158"/>
    <mergeCell ref="A154:B154"/>
    <mergeCell ref="D154:G154"/>
    <mergeCell ref="H154:K154"/>
    <mergeCell ref="L154:N154"/>
    <mergeCell ref="A155:B155"/>
    <mergeCell ref="D155:G155"/>
    <mergeCell ref="H155:K155"/>
    <mergeCell ref="L155:N155"/>
    <mergeCell ref="A151:C151"/>
    <mergeCell ref="D151:G151"/>
    <mergeCell ref="A152:C152"/>
    <mergeCell ref="D152:G152"/>
    <mergeCell ref="L152:M152"/>
    <mergeCell ref="A153:C153"/>
    <mergeCell ref="D153:G153"/>
    <mergeCell ref="Q126:Z126"/>
    <mergeCell ref="AC139:AE139"/>
    <mergeCell ref="AC140:AE140"/>
    <mergeCell ref="AC141:AE141"/>
    <mergeCell ref="A148:I148"/>
    <mergeCell ref="J148:N150"/>
    <mergeCell ref="A149:I149"/>
    <mergeCell ref="A150:I150"/>
    <mergeCell ref="B122:K122"/>
    <mergeCell ref="P123:AE123"/>
    <mergeCell ref="P124:AE124"/>
    <mergeCell ref="P125:S125"/>
    <mergeCell ref="T125:W125"/>
    <mergeCell ref="AA125:AE125"/>
    <mergeCell ref="A119:B119"/>
    <mergeCell ref="D119:G119"/>
    <mergeCell ref="H119:K119"/>
    <mergeCell ref="D120:G120"/>
    <mergeCell ref="H120:K120"/>
    <mergeCell ref="A121:B121"/>
    <mergeCell ref="D121:G121"/>
    <mergeCell ref="H121:K121"/>
    <mergeCell ref="A117:B117"/>
    <mergeCell ref="D117:G117"/>
    <mergeCell ref="H117:K117"/>
    <mergeCell ref="L117:N117"/>
    <mergeCell ref="A118:B118"/>
    <mergeCell ref="D118:G118"/>
    <mergeCell ref="H118:K118"/>
    <mergeCell ref="L118:N118"/>
    <mergeCell ref="A114:C114"/>
    <mergeCell ref="D114:G114"/>
    <mergeCell ref="A115:C115"/>
    <mergeCell ref="D115:G115"/>
    <mergeCell ref="L115:M115"/>
    <mergeCell ref="A116:C116"/>
    <mergeCell ref="D116:G116"/>
    <mergeCell ref="Q89:Z89"/>
    <mergeCell ref="AC102:AE102"/>
    <mergeCell ref="AC103:AE103"/>
    <mergeCell ref="AC104:AE104"/>
    <mergeCell ref="A111:I111"/>
    <mergeCell ref="J111:N113"/>
    <mergeCell ref="A112:I112"/>
    <mergeCell ref="A113:I113"/>
    <mergeCell ref="B85:K85"/>
    <mergeCell ref="P86:AE86"/>
    <mergeCell ref="P87:AE87"/>
    <mergeCell ref="P88:S88"/>
    <mergeCell ref="T88:W88"/>
    <mergeCell ref="AA88:AE88"/>
    <mergeCell ref="A82:B82"/>
    <mergeCell ref="D82:G82"/>
    <mergeCell ref="H82:K82"/>
    <mergeCell ref="D83:G83"/>
    <mergeCell ref="H83:K83"/>
    <mergeCell ref="A84:B84"/>
    <mergeCell ref="D84:G84"/>
    <mergeCell ref="H84:K84"/>
    <mergeCell ref="A80:B80"/>
    <mergeCell ref="D80:G80"/>
    <mergeCell ref="H80:K80"/>
    <mergeCell ref="L80:N80"/>
    <mergeCell ref="A81:B81"/>
    <mergeCell ref="D81:G81"/>
    <mergeCell ref="H81:K81"/>
    <mergeCell ref="L81:N81"/>
    <mergeCell ref="A77:C77"/>
    <mergeCell ref="D77:G77"/>
    <mergeCell ref="A78:C78"/>
    <mergeCell ref="D78:G78"/>
    <mergeCell ref="L78:M78"/>
    <mergeCell ref="A79:C79"/>
    <mergeCell ref="D79:G79"/>
    <mergeCell ref="Q52:Z52"/>
    <mergeCell ref="AC65:AE65"/>
    <mergeCell ref="AC66:AE66"/>
    <mergeCell ref="AC67:AE67"/>
    <mergeCell ref="A74:I74"/>
    <mergeCell ref="J74:N76"/>
    <mergeCell ref="A75:I75"/>
    <mergeCell ref="A76:I76"/>
    <mergeCell ref="B48:K48"/>
    <mergeCell ref="P49:AE49"/>
    <mergeCell ref="P50:AE50"/>
    <mergeCell ref="P51:S51"/>
    <mergeCell ref="T51:W51"/>
    <mergeCell ref="AA51:AE51"/>
    <mergeCell ref="A45:B45"/>
    <mergeCell ref="D45:G45"/>
    <mergeCell ref="H45:K45"/>
    <mergeCell ref="D46:G46"/>
    <mergeCell ref="H46:K46"/>
    <mergeCell ref="A47:B47"/>
    <mergeCell ref="D47:G47"/>
    <mergeCell ref="H47:K47"/>
    <mergeCell ref="A43:B43"/>
    <mergeCell ref="D43:G43"/>
    <mergeCell ref="H43:K43"/>
    <mergeCell ref="L43:N43"/>
    <mergeCell ref="A44:B44"/>
    <mergeCell ref="D44:G44"/>
    <mergeCell ref="H44:K44"/>
    <mergeCell ref="L44:N44"/>
    <mergeCell ref="A40:C40"/>
    <mergeCell ref="D40:G40"/>
    <mergeCell ref="A41:C41"/>
    <mergeCell ref="D41:G41"/>
    <mergeCell ref="L41:M41"/>
    <mergeCell ref="A42:C42"/>
    <mergeCell ref="D42:G42"/>
    <mergeCell ref="AC29:AE29"/>
    <mergeCell ref="AC30:AE30"/>
    <mergeCell ref="AC31:AE31"/>
    <mergeCell ref="A37:I37"/>
    <mergeCell ref="J37:N39"/>
    <mergeCell ref="A38:I38"/>
    <mergeCell ref="A39:I39"/>
    <mergeCell ref="P13:AE13"/>
    <mergeCell ref="P14:AE14"/>
    <mergeCell ref="P15:S15"/>
    <mergeCell ref="T15:W15"/>
    <mergeCell ref="AA15:AE15"/>
    <mergeCell ref="Q16:Z16"/>
    <mergeCell ref="D10:G10"/>
    <mergeCell ref="H10:K10"/>
    <mergeCell ref="A11:B11"/>
    <mergeCell ref="D11:G11"/>
    <mergeCell ref="H11:K11"/>
    <mergeCell ref="B12:K12"/>
    <mergeCell ref="A8:B8"/>
    <mergeCell ref="D8:G8"/>
    <mergeCell ref="H8:K8"/>
    <mergeCell ref="L8:N8"/>
    <mergeCell ref="A9:B9"/>
    <mergeCell ref="D9:G9"/>
    <mergeCell ref="H9:K9"/>
    <mergeCell ref="A5:C5"/>
    <mergeCell ref="D5:G5"/>
    <mergeCell ref="L5:M5"/>
    <mergeCell ref="A6:C6"/>
    <mergeCell ref="D6:G6"/>
    <mergeCell ref="A7:B7"/>
    <mergeCell ref="D7:G7"/>
    <mergeCell ref="H7:K7"/>
    <mergeCell ref="L7:N7"/>
    <mergeCell ref="A1:I1"/>
    <mergeCell ref="J1:N3"/>
    <mergeCell ref="A2:I2"/>
    <mergeCell ref="A3:I3"/>
    <mergeCell ref="A4:C4"/>
    <mergeCell ref="D4:G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"/>
  <sheetViews>
    <sheetView workbookViewId="0">
      <selection activeCell="B10" sqref="B10:E10"/>
    </sheetView>
  </sheetViews>
  <sheetFormatPr baseColWidth="10" defaultRowHeight="15" x14ac:dyDescent="0.25"/>
  <cols>
    <col min="1" max="1" width="3.7109375" style="7" customWidth="1"/>
    <col min="2" max="4" width="11.42578125" style="7"/>
    <col min="5" max="5" width="13.42578125" style="7" customWidth="1"/>
    <col min="6" max="16384" width="11.42578125" style="7"/>
  </cols>
  <sheetData>
    <row r="1" spans="1:27" ht="15.75" thickBot="1" x14ac:dyDescent="0.3">
      <c r="A1" s="85" t="s">
        <v>51</v>
      </c>
      <c r="B1" s="85"/>
      <c r="C1" s="85"/>
      <c r="D1" s="85"/>
      <c r="E1" s="85"/>
      <c r="AA1" s="7">
        <v>8</v>
      </c>
    </row>
    <row r="2" spans="1:27" x14ac:dyDescent="0.25">
      <c r="A2" s="90" t="s">
        <v>34</v>
      </c>
      <c r="B2" s="92" t="s">
        <v>52</v>
      </c>
      <c r="C2" s="94" t="s">
        <v>53</v>
      </c>
      <c r="D2" s="94" t="s">
        <v>54</v>
      </c>
      <c r="E2" s="94" t="s">
        <v>55</v>
      </c>
    </row>
    <row r="3" spans="1:27" ht="15.75" thickBot="1" x14ac:dyDescent="0.3">
      <c r="A3" s="91"/>
      <c r="B3" s="93"/>
      <c r="C3" s="95"/>
      <c r="D3" s="95"/>
      <c r="E3" s="95"/>
    </row>
    <row r="4" spans="1:27" s="45" customFormat="1" x14ac:dyDescent="0.25">
      <c r="A4" s="63">
        <v>1</v>
      </c>
      <c r="B4" s="62" t="s">
        <v>840</v>
      </c>
      <c r="C4" s="63">
        <v>89.7</v>
      </c>
      <c r="D4" s="63">
        <v>10.299999999999997</v>
      </c>
      <c r="E4" s="63" t="s">
        <v>847</v>
      </c>
    </row>
    <row r="5" spans="1:27" s="45" customFormat="1" x14ac:dyDescent="0.25">
      <c r="A5" s="63">
        <v>2</v>
      </c>
      <c r="B5" s="62" t="s">
        <v>848</v>
      </c>
      <c r="C5" s="63">
        <v>99.5</v>
      </c>
      <c r="D5" s="63">
        <v>0.5</v>
      </c>
      <c r="E5" s="63" t="s">
        <v>852</v>
      </c>
    </row>
    <row r="6" spans="1:27" s="45" customFormat="1" x14ac:dyDescent="0.25">
      <c r="A6" s="63">
        <v>3</v>
      </c>
      <c r="B6" s="62" t="s">
        <v>855</v>
      </c>
      <c r="C6" s="63">
        <v>82.6</v>
      </c>
      <c r="D6" s="63">
        <v>17.400000000000006</v>
      </c>
      <c r="E6" s="63" t="s">
        <v>847</v>
      </c>
    </row>
    <row r="7" spans="1:27" s="45" customFormat="1" x14ac:dyDescent="0.25">
      <c r="A7" s="63">
        <v>4</v>
      </c>
      <c r="B7" s="62" t="s">
        <v>857</v>
      </c>
      <c r="C7" s="63">
        <v>80.400000000000006</v>
      </c>
      <c r="D7" s="63">
        <v>19.599999999999994</v>
      </c>
      <c r="E7" s="63" t="s">
        <v>847</v>
      </c>
    </row>
    <row r="8" spans="1:27" s="45" customFormat="1" x14ac:dyDescent="0.25">
      <c r="A8" s="63">
        <v>5</v>
      </c>
      <c r="B8" s="62" t="s">
        <v>859</v>
      </c>
      <c r="C8" s="63">
        <v>96.5</v>
      </c>
      <c r="D8" s="63">
        <v>3.5</v>
      </c>
      <c r="E8" s="63" t="s">
        <v>852</v>
      </c>
    </row>
    <row r="9" spans="1:27" s="45" customFormat="1" x14ac:dyDescent="0.25">
      <c r="A9" s="63">
        <v>6</v>
      </c>
      <c r="B9" s="62" t="s">
        <v>861</v>
      </c>
      <c r="C9" s="63">
        <v>94.2</v>
      </c>
      <c r="D9" s="63">
        <v>5.7999999999999972</v>
      </c>
      <c r="E9" s="63" t="s">
        <v>852</v>
      </c>
    </row>
    <row r="10" spans="1:27" s="45" customFormat="1" x14ac:dyDescent="0.25">
      <c r="A10" s="63">
        <v>7</v>
      </c>
      <c r="B10" s="62" t="s">
        <v>864</v>
      </c>
      <c r="C10" s="63">
        <v>84.8</v>
      </c>
      <c r="D10" s="63">
        <v>15.200000000000003</v>
      </c>
      <c r="E10" s="63" t="s">
        <v>847</v>
      </c>
    </row>
    <row r="11" spans="1:27" x14ac:dyDescent="0.25">
      <c r="A11" s="34"/>
      <c r="B11" s="52"/>
      <c r="C11" s="34"/>
      <c r="D11" s="53">
        <v>10.328571428571427</v>
      </c>
      <c r="E11" s="54" t="s">
        <v>847</v>
      </c>
    </row>
    <row r="12" spans="1:27" x14ac:dyDescent="0.25">
      <c r="A12" s="39"/>
      <c r="B12" s="38"/>
      <c r="C12" s="39"/>
      <c r="D12" s="39"/>
      <c r="E12" s="39"/>
    </row>
  </sheetData>
  <mergeCells count="6">
    <mergeCell ref="A1:E1"/>
    <mergeCell ref="A2:A3"/>
    <mergeCell ref="B2:B3"/>
    <mergeCell ref="C2:C3"/>
    <mergeCell ref="D2:D3"/>
    <mergeCell ref="E2:E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784"/>
  <sheetViews>
    <sheetView topLeftCell="A766" workbookViewId="0">
      <selection activeCell="A699" sqref="A699"/>
    </sheetView>
  </sheetViews>
  <sheetFormatPr baseColWidth="10" defaultRowHeight="15" x14ac:dyDescent="0.25"/>
  <sheetData>
    <row r="1" spans="1:1" x14ac:dyDescent="0.25">
      <c r="A1" t="s">
        <v>59</v>
      </c>
    </row>
    <row r="2" spans="1:1" x14ac:dyDescent="0.25">
      <c r="A2" s="45" t="s">
        <v>60</v>
      </c>
    </row>
    <row r="3" spans="1:1" x14ac:dyDescent="0.25">
      <c r="A3" s="45" t="s">
        <v>61</v>
      </c>
    </row>
    <row r="4" spans="1:1" x14ac:dyDescent="0.25">
      <c r="A4" s="45" t="s">
        <v>62</v>
      </c>
    </row>
    <row r="5" spans="1:1" x14ac:dyDescent="0.25">
      <c r="A5" s="45" t="s">
        <v>63</v>
      </c>
    </row>
    <row r="6" spans="1:1" x14ac:dyDescent="0.25">
      <c r="A6" s="45" t="s">
        <v>64</v>
      </c>
    </row>
    <row r="7" spans="1:1" x14ac:dyDescent="0.25">
      <c r="A7" s="45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  <row r="15" spans="1:1" x14ac:dyDescent="0.25">
      <c r="A15" t="s">
        <v>73</v>
      </c>
    </row>
    <row r="16" spans="1:1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s="45" t="s">
        <v>122</v>
      </c>
    </row>
    <row r="65" spans="1:1" x14ac:dyDescent="0.25">
      <c r="A65" s="45" t="s">
        <v>123</v>
      </c>
    </row>
    <row r="66" spans="1:1" x14ac:dyDescent="0.25">
      <c r="A66" s="45" t="s">
        <v>124</v>
      </c>
    </row>
    <row r="67" spans="1:1" x14ac:dyDescent="0.25">
      <c r="A67" s="45" t="s">
        <v>125</v>
      </c>
    </row>
    <row r="68" spans="1:1" x14ac:dyDescent="0.25">
      <c r="A68" s="45" t="s">
        <v>126</v>
      </c>
    </row>
    <row r="69" spans="1:1" x14ac:dyDescent="0.25">
      <c r="A69" s="45" t="s">
        <v>127</v>
      </c>
    </row>
    <row r="70" spans="1:1" x14ac:dyDescent="0.25">
      <c r="A70" s="45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  <row r="126" spans="1:1" x14ac:dyDescent="0.25">
      <c r="A126" t="s">
        <v>184</v>
      </c>
    </row>
    <row r="127" spans="1:1" x14ac:dyDescent="0.25">
      <c r="A127" t="s">
        <v>185</v>
      </c>
    </row>
    <row r="128" spans="1:1" x14ac:dyDescent="0.25">
      <c r="A128" t="s">
        <v>186</v>
      </c>
    </row>
    <row r="129" spans="1:1" x14ac:dyDescent="0.25">
      <c r="A129" t="s">
        <v>187</v>
      </c>
    </row>
    <row r="130" spans="1:1" x14ac:dyDescent="0.25">
      <c r="A130" t="s">
        <v>188</v>
      </c>
    </row>
    <row r="131" spans="1:1" x14ac:dyDescent="0.25">
      <c r="A131" t="s">
        <v>189</v>
      </c>
    </row>
    <row r="132" spans="1:1" x14ac:dyDescent="0.25">
      <c r="A132" t="s">
        <v>190</v>
      </c>
    </row>
    <row r="133" spans="1:1" x14ac:dyDescent="0.25">
      <c r="A133" t="s">
        <v>191</v>
      </c>
    </row>
    <row r="134" spans="1:1" x14ac:dyDescent="0.25">
      <c r="A134" t="s">
        <v>192</v>
      </c>
    </row>
    <row r="135" spans="1:1" x14ac:dyDescent="0.25">
      <c r="A135" t="s">
        <v>193</v>
      </c>
    </row>
    <row r="136" spans="1:1" x14ac:dyDescent="0.25">
      <c r="A136" t="s">
        <v>194</v>
      </c>
    </row>
    <row r="137" spans="1:1" x14ac:dyDescent="0.25">
      <c r="A137" t="s">
        <v>195</v>
      </c>
    </row>
    <row r="138" spans="1:1" x14ac:dyDescent="0.25">
      <c r="A138" t="s">
        <v>196</v>
      </c>
    </row>
    <row r="139" spans="1:1" x14ac:dyDescent="0.25">
      <c r="A139" t="s">
        <v>197</v>
      </c>
    </row>
    <row r="140" spans="1:1" x14ac:dyDescent="0.25">
      <c r="A140" t="s">
        <v>198</v>
      </c>
    </row>
    <row r="141" spans="1:1" x14ac:dyDescent="0.25">
      <c r="A141" t="s">
        <v>199</v>
      </c>
    </row>
    <row r="142" spans="1:1" x14ac:dyDescent="0.25">
      <c r="A142" t="s">
        <v>200</v>
      </c>
    </row>
    <row r="143" spans="1:1" x14ac:dyDescent="0.25">
      <c r="A143" t="s">
        <v>201</v>
      </c>
    </row>
    <row r="144" spans="1:1" x14ac:dyDescent="0.25">
      <c r="A144" t="s">
        <v>202</v>
      </c>
    </row>
    <row r="145" spans="1:1" x14ac:dyDescent="0.25">
      <c r="A145" t="s">
        <v>203</v>
      </c>
    </row>
    <row r="146" spans="1:1" x14ac:dyDescent="0.25">
      <c r="A146" t="s">
        <v>204</v>
      </c>
    </row>
    <row r="147" spans="1:1" x14ac:dyDescent="0.25">
      <c r="A147" t="s">
        <v>205</v>
      </c>
    </row>
    <row r="148" spans="1:1" x14ac:dyDescent="0.25">
      <c r="A148" t="s">
        <v>206</v>
      </c>
    </row>
    <row r="149" spans="1:1" x14ac:dyDescent="0.25">
      <c r="A149" t="s">
        <v>207</v>
      </c>
    </row>
    <row r="150" spans="1:1" x14ac:dyDescent="0.25">
      <c r="A150" t="s">
        <v>208</v>
      </c>
    </row>
    <row r="151" spans="1:1" x14ac:dyDescent="0.25">
      <c r="A151" t="s">
        <v>209</v>
      </c>
    </row>
    <row r="152" spans="1:1" x14ac:dyDescent="0.25">
      <c r="A152" t="s">
        <v>210</v>
      </c>
    </row>
    <row r="153" spans="1:1" x14ac:dyDescent="0.25">
      <c r="A153" t="s">
        <v>211</v>
      </c>
    </row>
    <row r="154" spans="1:1" x14ac:dyDescent="0.25">
      <c r="A154" t="s">
        <v>212</v>
      </c>
    </row>
    <row r="155" spans="1:1" x14ac:dyDescent="0.25">
      <c r="A155" t="s">
        <v>213</v>
      </c>
    </row>
    <row r="156" spans="1:1" x14ac:dyDescent="0.25">
      <c r="A156" t="s">
        <v>214</v>
      </c>
    </row>
    <row r="157" spans="1:1" x14ac:dyDescent="0.25">
      <c r="A157" t="s">
        <v>215</v>
      </c>
    </row>
    <row r="158" spans="1:1" x14ac:dyDescent="0.25">
      <c r="A158" t="s">
        <v>216</v>
      </c>
    </row>
    <row r="159" spans="1:1" x14ac:dyDescent="0.25">
      <c r="A159" t="s">
        <v>217</v>
      </c>
    </row>
    <row r="160" spans="1:1" x14ac:dyDescent="0.25">
      <c r="A160" t="s">
        <v>218</v>
      </c>
    </row>
    <row r="161" spans="1:1" x14ac:dyDescent="0.25">
      <c r="A161" t="s">
        <v>219</v>
      </c>
    </row>
    <row r="162" spans="1:1" x14ac:dyDescent="0.25">
      <c r="A162" t="s">
        <v>220</v>
      </c>
    </row>
    <row r="163" spans="1:1" x14ac:dyDescent="0.25">
      <c r="A163" t="s">
        <v>221</v>
      </c>
    </row>
    <row r="164" spans="1:1" x14ac:dyDescent="0.25">
      <c r="A164" t="s">
        <v>222</v>
      </c>
    </row>
    <row r="165" spans="1:1" x14ac:dyDescent="0.25">
      <c r="A165" t="s">
        <v>223</v>
      </c>
    </row>
    <row r="166" spans="1:1" x14ac:dyDescent="0.25">
      <c r="A166" t="s">
        <v>224</v>
      </c>
    </row>
    <row r="167" spans="1:1" x14ac:dyDescent="0.25">
      <c r="A167" t="s">
        <v>225</v>
      </c>
    </row>
    <row r="168" spans="1:1" x14ac:dyDescent="0.25">
      <c r="A168" t="s">
        <v>226</v>
      </c>
    </row>
    <row r="169" spans="1:1" x14ac:dyDescent="0.25">
      <c r="A169" t="s">
        <v>227</v>
      </c>
    </row>
    <row r="170" spans="1:1" x14ac:dyDescent="0.25">
      <c r="A170" t="s">
        <v>228</v>
      </c>
    </row>
    <row r="171" spans="1:1" x14ac:dyDescent="0.25">
      <c r="A171" t="s">
        <v>229</v>
      </c>
    </row>
    <row r="172" spans="1:1" x14ac:dyDescent="0.25">
      <c r="A172" t="s">
        <v>230</v>
      </c>
    </row>
    <row r="173" spans="1:1" x14ac:dyDescent="0.25">
      <c r="A173" t="s">
        <v>231</v>
      </c>
    </row>
    <row r="174" spans="1:1" x14ac:dyDescent="0.25">
      <c r="A174" t="s">
        <v>232</v>
      </c>
    </row>
    <row r="175" spans="1:1" x14ac:dyDescent="0.25">
      <c r="A175" t="s">
        <v>233</v>
      </c>
    </row>
    <row r="176" spans="1:1" x14ac:dyDescent="0.25">
      <c r="A176" t="s">
        <v>234</v>
      </c>
    </row>
    <row r="177" spans="1:1" x14ac:dyDescent="0.25">
      <c r="A177" t="s">
        <v>235</v>
      </c>
    </row>
    <row r="178" spans="1:1" x14ac:dyDescent="0.25">
      <c r="A178" t="s">
        <v>236</v>
      </c>
    </row>
    <row r="179" spans="1:1" x14ac:dyDescent="0.25">
      <c r="A179" t="s">
        <v>237</v>
      </c>
    </row>
    <row r="180" spans="1:1" x14ac:dyDescent="0.25">
      <c r="A180" t="s">
        <v>238</v>
      </c>
    </row>
    <row r="181" spans="1:1" x14ac:dyDescent="0.25">
      <c r="A181" t="s">
        <v>239</v>
      </c>
    </row>
    <row r="182" spans="1:1" x14ac:dyDescent="0.25">
      <c r="A182" t="s">
        <v>240</v>
      </c>
    </row>
    <row r="183" spans="1:1" x14ac:dyDescent="0.25">
      <c r="A183" t="s">
        <v>241</v>
      </c>
    </row>
    <row r="184" spans="1:1" x14ac:dyDescent="0.25">
      <c r="A184" t="s">
        <v>242</v>
      </c>
    </row>
    <row r="185" spans="1:1" x14ac:dyDescent="0.25">
      <c r="A185" t="s">
        <v>243</v>
      </c>
    </row>
    <row r="186" spans="1:1" x14ac:dyDescent="0.25">
      <c r="A186" t="s">
        <v>244</v>
      </c>
    </row>
    <row r="187" spans="1:1" x14ac:dyDescent="0.25">
      <c r="A187" t="s">
        <v>245</v>
      </c>
    </row>
    <row r="188" spans="1:1" x14ac:dyDescent="0.25">
      <c r="A188" t="s">
        <v>246</v>
      </c>
    </row>
    <row r="189" spans="1:1" x14ac:dyDescent="0.25">
      <c r="A189" t="s">
        <v>247</v>
      </c>
    </row>
    <row r="190" spans="1:1" x14ac:dyDescent="0.25">
      <c r="A190" t="s">
        <v>248</v>
      </c>
    </row>
    <row r="191" spans="1:1" x14ac:dyDescent="0.25">
      <c r="A191" t="s">
        <v>249</v>
      </c>
    </row>
    <row r="192" spans="1:1" x14ac:dyDescent="0.25">
      <c r="A192" t="s">
        <v>250</v>
      </c>
    </row>
    <row r="193" spans="1:1" x14ac:dyDescent="0.25">
      <c r="A193" t="s">
        <v>251</v>
      </c>
    </row>
    <row r="194" spans="1:1" x14ac:dyDescent="0.25">
      <c r="A194" t="s">
        <v>252</v>
      </c>
    </row>
    <row r="195" spans="1:1" x14ac:dyDescent="0.25">
      <c r="A195" s="45" t="s">
        <v>253</v>
      </c>
    </row>
    <row r="196" spans="1:1" x14ac:dyDescent="0.25">
      <c r="A196" s="45" t="s">
        <v>255</v>
      </c>
    </row>
    <row r="197" spans="1:1" x14ac:dyDescent="0.25">
      <c r="A197" s="45" t="s">
        <v>256</v>
      </c>
    </row>
    <row r="198" spans="1:1" x14ac:dyDescent="0.25">
      <c r="A198" s="45" t="s">
        <v>254</v>
      </c>
    </row>
    <row r="199" spans="1:1" x14ac:dyDescent="0.25">
      <c r="A199" t="s">
        <v>257</v>
      </c>
    </row>
    <row r="200" spans="1:1" x14ac:dyDescent="0.25">
      <c r="A200" t="s">
        <v>258</v>
      </c>
    </row>
    <row r="201" spans="1:1" x14ac:dyDescent="0.25">
      <c r="A201" t="s">
        <v>259</v>
      </c>
    </row>
    <row r="202" spans="1:1" x14ac:dyDescent="0.25">
      <c r="A202" t="s">
        <v>260</v>
      </c>
    </row>
    <row r="203" spans="1:1" x14ac:dyDescent="0.25">
      <c r="A203" t="s">
        <v>261</v>
      </c>
    </row>
    <row r="204" spans="1:1" x14ac:dyDescent="0.25">
      <c r="A204" t="s">
        <v>262</v>
      </c>
    </row>
    <row r="205" spans="1:1" x14ac:dyDescent="0.25">
      <c r="A205" t="s">
        <v>263</v>
      </c>
    </row>
    <row r="206" spans="1:1" x14ac:dyDescent="0.25">
      <c r="A206" t="s">
        <v>264</v>
      </c>
    </row>
    <row r="207" spans="1:1" x14ac:dyDescent="0.25">
      <c r="A207" t="s">
        <v>265</v>
      </c>
    </row>
    <row r="208" spans="1:1" x14ac:dyDescent="0.25">
      <c r="A208" t="s">
        <v>266</v>
      </c>
    </row>
    <row r="209" spans="1:1" x14ac:dyDescent="0.25">
      <c r="A209" t="s">
        <v>267</v>
      </c>
    </row>
    <row r="210" spans="1:1" x14ac:dyDescent="0.25">
      <c r="A210" t="s">
        <v>268</v>
      </c>
    </row>
    <row r="211" spans="1:1" x14ac:dyDescent="0.25">
      <c r="A211" t="s">
        <v>269</v>
      </c>
    </row>
    <row r="212" spans="1:1" x14ac:dyDescent="0.25">
      <c r="A212" t="s">
        <v>270</v>
      </c>
    </row>
    <row r="213" spans="1:1" x14ac:dyDescent="0.25">
      <c r="A213" t="s">
        <v>271</v>
      </c>
    </row>
    <row r="214" spans="1:1" x14ac:dyDescent="0.25">
      <c r="A214" t="s">
        <v>272</v>
      </c>
    </row>
    <row r="215" spans="1:1" x14ac:dyDescent="0.25">
      <c r="A215" t="s">
        <v>273</v>
      </c>
    </row>
    <row r="216" spans="1:1" x14ac:dyDescent="0.25">
      <c r="A216" t="s">
        <v>274</v>
      </c>
    </row>
    <row r="217" spans="1:1" x14ac:dyDescent="0.25">
      <c r="A217" t="s">
        <v>275</v>
      </c>
    </row>
    <row r="218" spans="1:1" x14ac:dyDescent="0.25">
      <c r="A218" t="s">
        <v>276</v>
      </c>
    </row>
    <row r="219" spans="1:1" x14ac:dyDescent="0.25">
      <c r="A219" t="s">
        <v>277</v>
      </c>
    </row>
    <row r="220" spans="1:1" x14ac:dyDescent="0.25">
      <c r="A220" t="s">
        <v>278</v>
      </c>
    </row>
    <row r="221" spans="1:1" x14ac:dyDescent="0.25">
      <c r="A221" t="s">
        <v>279</v>
      </c>
    </row>
    <row r="222" spans="1:1" x14ac:dyDescent="0.25">
      <c r="A222" t="s">
        <v>280</v>
      </c>
    </row>
    <row r="223" spans="1:1" x14ac:dyDescent="0.25">
      <c r="A223" t="s">
        <v>281</v>
      </c>
    </row>
    <row r="224" spans="1:1" x14ac:dyDescent="0.25">
      <c r="A224" t="s">
        <v>282</v>
      </c>
    </row>
    <row r="225" spans="1:1" x14ac:dyDescent="0.25">
      <c r="A225" t="s">
        <v>283</v>
      </c>
    </row>
    <row r="226" spans="1:1" x14ac:dyDescent="0.25">
      <c r="A226" t="s">
        <v>284</v>
      </c>
    </row>
    <row r="227" spans="1:1" x14ac:dyDescent="0.25">
      <c r="A227" t="s">
        <v>285</v>
      </c>
    </row>
    <row r="228" spans="1:1" x14ac:dyDescent="0.25">
      <c r="A228" t="s">
        <v>286</v>
      </c>
    </row>
    <row r="229" spans="1:1" x14ac:dyDescent="0.25">
      <c r="A229" t="s">
        <v>287</v>
      </c>
    </row>
    <row r="230" spans="1:1" x14ac:dyDescent="0.25">
      <c r="A230" t="s">
        <v>288</v>
      </c>
    </row>
    <row r="231" spans="1:1" x14ac:dyDescent="0.25">
      <c r="A231" t="s">
        <v>289</v>
      </c>
    </row>
    <row r="232" spans="1:1" x14ac:dyDescent="0.25">
      <c r="A232" t="s">
        <v>290</v>
      </c>
    </row>
    <row r="233" spans="1:1" x14ac:dyDescent="0.25">
      <c r="A233" t="s">
        <v>291</v>
      </c>
    </row>
    <row r="234" spans="1:1" x14ac:dyDescent="0.25">
      <c r="A234" t="s">
        <v>292</v>
      </c>
    </row>
    <row r="235" spans="1:1" x14ac:dyDescent="0.25">
      <c r="A235" t="s">
        <v>293</v>
      </c>
    </row>
    <row r="236" spans="1:1" x14ac:dyDescent="0.25">
      <c r="A236" t="s">
        <v>294</v>
      </c>
    </row>
    <row r="237" spans="1:1" x14ac:dyDescent="0.25">
      <c r="A237" t="s">
        <v>295</v>
      </c>
    </row>
    <row r="238" spans="1:1" x14ac:dyDescent="0.25">
      <c r="A238" t="s">
        <v>296</v>
      </c>
    </row>
    <row r="239" spans="1:1" x14ac:dyDescent="0.25">
      <c r="A239" t="s">
        <v>297</v>
      </c>
    </row>
    <row r="240" spans="1:1" x14ac:dyDescent="0.25">
      <c r="A240" t="s">
        <v>298</v>
      </c>
    </row>
    <row r="241" spans="1:1" x14ac:dyDescent="0.25">
      <c r="A241" s="45" t="s">
        <v>299</v>
      </c>
    </row>
    <row r="242" spans="1:1" x14ac:dyDescent="0.25">
      <c r="A242" t="s">
        <v>300</v>
      </c>
    </row>
    <row r="243" spans="1:1" x14ac:dyDescent="0.25">
      <c r="A243" t="s">
        <v>301</v>
      </c>
    </row>
    <row r="244" spans="1:1" x14ac:dyDescent="0.25">
      <c r="A244" t="s">
        <v>302</v>
      </c>
    </row>
    <row r="245" spans="1:1" x14ac:dyDescent="0.25">
      <c r="A245" t="s">
        <v>303</v>
      </c>
    </row>
    <row r="246" spans="1:1" x14ac:dyDescent="0.25">
      <c r="A246" t="s">
        <v>304</v>
      </c>
    </row>
    <row r="247" spans="1:1" x14ac:dyDescent="0.25">
      <c r="A247" t="s">
        <v>305</v>
      </c>
    </row>
    <row r="248" spans="1:1" x14ac:dyDescent="0.25">
      <c r="A248" t="s">
        <v>306</v>
      </c>
    </row>
    <row r="249" spans="1:1" x14ac:dyDescent="0.25">
      <c r="A249" t="s">
        <v>307</v>
      </c>
    </row>
    <row r="250" spans="1:1" x14ac:dyDescent="0.25">
      <c r="A250" t="s">
        <v>308</v>
      </c>
    </row>
    <row r="251" spans="1:1" x14ac:dyDescent="0.25">
      <c r="A251" t="s">
        <v>309</v>
      </c>
    </row>
    <row r="252" spans="1:1" x14ac:dyDescent="0.25">
      <c r="A252" t="s">
        <v>310</v>
      </c>
    </row>
    <row r="253" spans="1:1" x14ac:dyDescent="0.25">
      <c r="A253" t="s">
        <v>311</v>
      </c>
    </row>
    <row r="254" spans="1:1" x14ac:dyDescent="0.25">
      <c r="A254" t="s">
        <v>312</v>
      </c>
    </row>
    <row r="255" spans="1:1" x14ac:dyDescent="0.25">
      <c r="A255" t="s">
        <v>313</v>
      </c>
    </row>
    <row r="256" spans="1:1" x14ac:dyDescent="0.25">
      <c r="A256" t="s">
        <v>314</v>
      </c>
    </row>
    <row r="257" spans="1:1" x14ac:dyDescent="0.25">
      <c r="A257" t="s">
        <v>315</v>
      </c>
    </row>
    <row r="258" spans="1:1" x14ac:dyDescent="0.25">
      <c r="A258" t="s">
        <v>316</v>
      </c>
    </row>
    <row r="259" spans="1:1" x14ac:dyDescent="0.25">
      <c r="A259" t="s">
        <v>317</v>
      </c>
    </row>
    <row r="260" spans="1:1" x14ac:dyDescent="0.25">
      <c r="A260" t="s">
        <v>318</v>
      </c>
    </row>
    <row r="261" spans="1:1" x14ac:dyDescent="0.25">
      <c r="A261" t="s">
        <v>319</v>
      </c>
    </row>
    <row r="262" spans="1:1" x14ac:dyDescent="0.25">
      <c r="A262" t="s">
        <v>320</v>
      </c>
    </row>
    <row r="263" spans="1:1" x14ac:dyDescent="0.25">
      <c r="A263" t="s">
        <v>321</v>
      </c>
    </row>
    <row r="264" spans="1:1" x14ac:dyDescent="0.25">
      <c r="A264" t="s">
        <v>322</v>
      </c>
    </row>
    <row r="265" spans="1:1" x14ac:dyDescent="0.25">
      <c r="A265" t="s">
        <v>323</v>
      </c>
    </row>
    <row r="266" spans="1:1" x14ac:dyDescent="0.25">
      <c r="A266" t="s">
        <v>324</v>
      </c>
    </row>
    <row r="267" spans="1:1" x14ac:dyDescent="0.25">
      <c r="A267" t="s">
        <v>325</v>
      </c>
    </row>
    <row r="268" spans="1:1" x14ac:dyDescent="0.25">
      <c r="A268" t="s">
        <v>326</v>
      </c>
    </row>
    <row r="269" spans="1:1" x14ac:dyDescent="0.25">
      <c r="A269" t="s">
        <v>327</v>
      </c>
    </row>
    <row r="270" spans="1:1" x14ac:dyDescent="0.25">
      <c r="A270" t="s">
        <v>328</v>
      </c>
    </row>
    <row r="271" spans="1:1" x14ac:dyDescent="0.25">
      <c r="A271" s="45" t="s">
        <v>329</v>
      </c>
    </row>
    <row r="272" spans="1:1" x14ac:dyDescent="0.25">
      <c r="A272" t="s">
        <v>330</v>
      </c>
    </row>
    <row r="273" spans="1:1" x14ac:dyDescent="0.25">
      <c r="A273" t="s">
        <v>331</v>
      </c>
    </row>
    <row r="274" spans="1:1" x14ac:dyDescent="0.25">
      <c r="A274" t="s">
        <v>332</v>
      </c>
    </row>
    <row r="275" spans="1:1" x14ac:dyDescent="0.25">
      <c r="A275" t="s">
        <v>333</v>
      </c>
    </row>
    <row r="276" spans="1:1" x14ac:dyDescent="0.25">
      <c r="A276" t="s">
        <v>334</v>
      </c>
    </row>
    <row r="277" spans="1:1" x14ac:dyDescent="0.25">
      <c r="A277" t="s">
        <v>335</v>
      </c>
    </row>
    <row r="278" spans="1:1" x14ac:dyDescent="0.25">
      <c r="A278" t="s">
        <v>336</v>
      </c>
    </row>
    <row r="279" spans="1:1" x14ac:dyDescent="0.25">
      <c r="A279" t="s">
        <v>337</v>
      </c>
    </row>
    <row r="280" spans="1:1" x14ac:dyDescent="0.25">
      <c r="A280" t="s">
        <v>338</v>
      </c>
    </row>
    <row r="281" spans="1:1" x14ac:dyDescent="0.25">
      <c r="A281" t="s">
        <v>339</v>
      </c>
    </row>
    <row r="282" spans="1:1" x14ac:dyDescent="0.25">
      <c r="A282" t="s">
        <v>340</v>
      </c>
    </row>
    <row r="283" spans="1:1" x14ac:dyDescent="0.25">
      <c r="A283" t="s">
        <v>341</v>
      </c>
    </row>
    <row r="284" spans="1:1" x14ac:dyDescent="0.25">
      <c r="A284" t="s">
        <v>342</v>
      </c>
    </row>
    <row r="285" spans="1:1" x14ac:dyDescent="0.25">
      <c r="A285" t="s">
        <v>343</v>
      </c>
    </row>
    <row r="286" spans="1:1" x14ac:dyDescent="0.25">
      <c r="A286" t="s">
        <v>344</v>
      </c>
    </row>
    <row r="287" spans="1:1" x14ac:dyDescent="0.25">
      <c r="A287" t="s">
        <v>345</v>
      </c>
    </row>
    <row r="288" spans="1:1" x14ac:dyDescent="0.25">
      <c r="A288" t="s">
        <v>346</v>
      </c>
    </row>
    <row r="289" spans="1:1" x14ac:dyDescent="0.25">
      <c r="A289" t="s">
        <v>347</v>
      </c>
    </row>
    <row r="290" spans="1:1" x14ac:dyDescent="0.25">
      <c r="A290" t="s">
        <v>348</v>
      </c>
    </row>
    <row r="291" spans="1:1" x14ac:dyDescent="0.25">
      <c r="A291" t="s">
        <v>349</v>
      </c>
    </row>
    <row r="292" spans="1:1" x14ac:dyDescent="0.25">
      <c r="A292" t="s">
        <v>350</v>
      </c>
    </row>
    <row r="293" spans="1:1" x14ac:dyDescent="0.25">
      <c r="A293" t="s">
        <v>351</v>
      </c>
    </row>
    <row r="294" spans="1:1" x14ac:dyDescent="0.25">
      <c r="A294" t="s">
        <v>352</v>
      </c>
    </row>
    <row r="295" spans="1:1" x14ac:dyDescent="0.25">
      <c r="A295" t="s">
        <v>353</v>
      </c>
    </row>
    <row r="296" spans="1:1" x14ac:dyDescent="0.25">
      <c r="A296" t="s">
        <v>354</v>
      </c>
    </row>
    <row r="297" spans="1:1" x14ac:dyDescent="0.25">
      <c r="A297" t="s">
        <v>355</v>
      </c>
    </row>
    <row r="298" spans="1:1" x14ac:dyDescent="0.25">
      <c r="A298" t="s">
        <v>356</v>
      </c>
    </row>
    <row r="299" spans="1:1" x14ac:dyDescent="0.25">
      <c r="A299" t="s">
        <v>357</v>
      </c>
    </row>
    <row r="300" spans="1:1" x14ac:dyDescent="0.25">
      <c r="A300" t="s">
        <v>358</v>
      </c>
    </row>
    <row r="301" spans="1:1" x14ac:dyDescent="0.25">
      <c r="A301" t="s">
        <v>359</v>
      </c>
    </row>
    <row r="302" spans="1:1" x14ac:dyDescent="0.25">
      <c r="A302" t="s">
        <v>360</v>
      </c>
    </row>
    <row r="303" spans="1:1" x14ac:dyDescent="0.25">
      <c r="A303" t="s">
        <v>361</v>
      </c>
    </row>
    <row r="304" spans="1:1" x14ac:dyDescent="0.25">
      <c r="A304" t="s">
        <v>362</v>
      </c>
    </row>
    <row r="305" spans="1:1" x14ac:dyDescent="0.25">
      <c r="A305" t="s">
        <v>363</v>
      </c>
    </row>
    <row r="306" spans="1:1" x14ac:dyDescent="0.25">
      <c r="A306" t="s">
        <v>364</v>
      </c>
    </row>
    <row r="307" spans="1:1" x14ac:dyDescent="0.25">
      <c r="A307" t="s">
        <v>365</v>
      </c>
    </row>
    <row r="308" spans="1:1" x14ac:dyDescent="0.25">
      <c r="A308" t="s">
        <v>366</v>
      </c>
    </row>
    <row r="309" spans="1:1" x14ac:dyDescent="0.25">
      <c r="A309" t="s">
        <v>367</v>
      </c>
    </row>
    <row r="310" spans="1:1" x14ac:dyDescent="0.25">
      <c r="A310" t="s">
        <v>368</v>
      </c>
    </row>
    <row r="311" spans="1:1" x14ac:dyDescent="0.25">
      <c r="A311" t="s">
        <v>369</v>
      </c>
    </row>
    <row r="312" spans="1:1" x14ac:dyDescent="0.25">
      <c r="A312" t="s">
        <v>370</v>
      </c>
    </row>
    <row r="313" spans="1:1" x14ac:dyDescent="0.25">
      <c r="A313" t="s">
        <v>371</v>
      </c>
    </row>
    <row r="314" spans="1:1" x14ac:dyDescent="0.25">
      <c r="A314" t="s">
        <v>372</v>
      </c>
    </row>
    <row r="315" spans="1:1" x14ac:dyDescent="0.25">
      <c r="A315" t="s">
        <v>373</v>
      </c>
    </row>
    <row r="316" spans="1:1" x14ac:dyDescent="0.25">
      <c r="A316" t="s">
        <v>374</v>
      </c>
    </row>
    <row r="317" spans="1:1" x14ac:dyDescent="0.25">
      <c r="A317" t="s">
        <v>375</v>
      </c>
    </row>
    <row r="318" spans="1:1" x14ac:dyDescent="0.25">
      <c r="A318" t="s">
        <v>376</v>
      </c>
    </row>
    <row r="319" spans="1:1" x14ac:dyDescent="0.25">
      <c r="A319" t="s">
        <v>377</v>
      </c>
    </row>
    <row r="320" spans="1:1" x14ac:dyDescent="0.25">
      <c r="A320" t="s">
        <v>378</v>
      </c>
    </row>
    <row r="321" spans="1:1" x14ac:dyDescent="0.25">
      <c r="A321" t="s">
        <v>379</v>
      </c>
    </row>
    <row r="322" spans="1:1" x14ac:dyDescent="0.25">
      <c r="A322" t="s">
        <v>380</v>
      </c>
    </row>
    <row r="323" spans="1:1" x14ac:dyDescent="0.25">
      <c r="A323" t="s">
        <v>381</v>
      </c>
    </row>
    <row r="324" spans="1:1" x14ac:dyDescent="0.25">
      <c r="A324" t="s">
        <v>382</v>
      </c>
    </row>
    <row r="325" spans="1:1" x14ac:dyDescent="0.25">
      <c r="A325" t="s">
        <v>383</v>
      </c>
    </row>
    <row r="326" spans="1:1" x14ac:dyDescent="0.25">
      <c r="A326" t="s">
        <v>384</v>
      </c>
    </row>
    <row r="327" spans="1:1" x14ac:dyDescent="0.25">
      <c r="A327" t="s">
        <v>385</v>
      </c>
    </row>
    <row r="328" spans="1:1" x14ac:dyDescent="0.25">
      <c r="A328" t="s">
        <v>386</v>
      </c>
    </row>
    <row r="329" spans="1:1" x14ac:dyDescent="0.25">
      <c r="A329" t="s">
        <v>387</v>
      </c>
    </row>
    <row r="330" spans="1:1" x14ac:dyDescent="0.25">
      <c r="A330" t="s">
        <v>388</v>
      </c>
    </row>
    <row r="331" spans="1:1" x14ac:dyDescent="0.25">
      <c r="A331" t="s">
        <v>389</v>
      </c>
    </row>
    <row r="332" spans="1:1" x14ac:dyDescent="0.25">
      <c r="A332" t="s">
        <v>390</v>
      </c>
    </row>
    <row r="333" spans="1:1" x14ac:dyDescent="0.25">
      <c r="A333" t="s">
        <v>391</v>
      </c>
    </row>
    <row r="334" spans="1:1" x14ac:dyDescent="0.25">
      <c r="A334" t="s">
        <v>392</v>
      </c>
    </row>
    <row r="335" spans="1:1" x14ac:dyDescent="0.25">
      <c r="A335" t="s">
        <v>393</v>
      </c>
    </row>
    <row r="336" spans="1:1" x14ac:dyDescent="0.25">
      <c r="A336" t="s">
        <v>394</v>
      </c>
    </row>
    <row r="337" spans="1:1" x14ac:dyDescent="0.25">
      <c r="A337" t="s">
        <v>395</v>
      </c>
    </row>
    <row r="338" spans="1:1" x14ac:dyDescent="0.25">
      <c r="A338" t="s">
        <v>396</v>
      </c>
    </row>
    <row r="339" spans="1:1" x14ac:dyDescent="0.25">
      <c r="A339" t="s">
        <v>397</v>
      </c>
    </row>
    <row r="340" spans="1:1" x14ac:dyDescent="0.25">
      <c r="A340" t="s">
        <v>398</v>
      </c>
    </row>
    <row r="341" spans="1:1" x14ac:dyDescent="0.25">
      <c r="A341" t="s">
        <v>399</v>
      </c>
    </row>
    <row r="342" spans="1:1" x14ac:dyDescent="0.25">
      <c r="A342" t="s">
        <v>400</v>
      </c>
    </row>
    <row r="343" spans="1:1" x14ac:dyDescent="0.25">
      <c r="A343" t="s">
        <v>401</v>
      </c>
    </row>
    <row r="344" spans="1:1" x14ac:dyDescent="0.25">
      <c r="A344" t="s">
        <v>402</v>
      </c>
    </row>
    <row r="345" spans="1:1" x14ac:dyDescent="0.25">
      <c r="A345" t="s">
        <v>403</v>
      </c>
    </row>
    <row r="346" spans="1:1" x14ac:dyDescent="0.25">
      <c r="A346" t="s">
        <v>404</v>
      </c>
    </row>
    <row r="347" spans="1:1" x14ac:dyDescent="0.25">
      <c r="A347" t="s">
        <v>405</v>
      </c>
    </row>
    <row r="348" spans="1:1" x14ac:dyDescent="0.25">
      <c r="A348" t="s">
        <v>406</v>
      </c>
    </row>
    <row r="349" spans="1:1" x14ac:dyDescent="0.25">
      <c r="A349" s="45" t="s">
        <v>408</v>
      </c>
    </row>
    <row r="350" spans="1:1" x14ac:dyDescent="0.25">
      <c r="A350" s="45" t="s">
        <v>409</v>
      </c>
    </row>
    <row r="351" spans="1:1" x14ac:dyDescent="0.25">
      <c r="A351" s="45" t="s">
        <v>410</v>
      </c>
    </row>
    <row r="352" spans="1:1" x14ac:dyDescent="0.25">
      <c r="A352" s="45" t="s">
        <v>407</v>
      </c>
    </row>
    <row r="353" spans="1:1" x14ac:dyDescent="0.25">
      <c r="A353" t="s">
        <v>411</v>
      </c>
    </row>
    <row r="354" spans="1:1" x14ac:dyDescent="0.25">
      <c r="A354" t="s">
        <v>412</v>
      </c>
    </row>
    <row r="355" spans="1:1" x14ac:dyDescent="0.25">
      <c r="A355" t="s">
        <v>413</v>
      </c>
    </row>
    <row r="356" spans="1:1" x14ac:dyDescent="0.25">
      <c r="A356" t="s">
        <v>414</v>
      </c>
    </row>
    <row r="357" spans="1:1" x14ac:dyDescent="0.25">
      <c r="A357" t="s">
        <v>415</v>
      </c>
    </row>
    <row r="358" spans="1:1" x14ac:dyDescent="0.25">
      <c r="A358" t="s">
        <v>416</v>
      </c>
    </row>
    <row r="359" spans="1:1" x14ac:dyDescent="0.25">
      <c r="A359" t="s">
        <v>417</v>
      </c>
    </row>
    <row r="360" spans="1:1" x14ac:dyDescent="0.25">
      <c r="A360" t="s">
        <v>418</v>
      </c>
    </row>
    <row r="361" spans="1:1" x14ac:dyDescent="0.25">
      <c r="A361" t="s">
        <v>419</v>
      </c>
    </row>
    <row r="362" spans="1:1" x14ac:dyDescent="0.25">
      <c r="A362" t="s">
        <v>420</v>
      </c>
    </row>
    <row r="363" spans="1:1" x14ac:dyDescent="0.25">
      <c r="A363" s="45" t="s">
        <v>422</v>
      </c>
    </row>
    <row r="364" spans="1:1" x14ac:dyDescent="0.25">
      <c r="A364" s="45" t="s">
        <v>423</v>
      </c>
    </row>
    <row r="365" spans="1:1" x14ac:dyDescent="0.25">
      <c r="A365" s="45" t="s">
        <v>424</v>
      </c>
    </row>
    <row r="366" spans="1:1" x14ac:dyDescent="0.25">
      <c r="A366" s="45" t="s">
        <v>425</v>
      </c>
    </row>
    <row r="367" spans="1:1" x14ac:dyDescent="0.25">
      <c r="A367" t="s">
        <v>421</v>
      </c>
    </row>
    <row r="368" spans="1:1" x14ac:dyDescent="0.25">
      <c r="A368" t="s">
        <v>426</v>
      </c>
    </row>
    <row r="369" spans="1:1" x14ac:dyDescent="0.25">
      <c r="A369" t="s">
        <v>427</v>
      </c>
    </row>
    <row r="370" spans="1:1" x14ac:dyDescent="0.25">
      <c r="A370" t="s">
        <v>428</v>
      </c>
    </row>
    <row r="371" spans="1:1" x14ac:dyDescent="0.25">
      <c r="A371" t="s">
        <v>429</v>
      </c>
    </row>
    <row r="372" spans="1:1" x14ac:dyDescent="0.25">
      <c r="A372" t="s">
        <v>430</v>
      </c>
    </row>
    <row r="373" spans="1:1" x14ac:dyDescent="0.25">
      <c r="A373" t="s">
        <v>431</v>
      </c>
    </row>
    <row r="374" spans="1:1" x14ac:dyDescent="0.25">
      <c r="A374" t="s">
        <v>432</v>
      </c>
    </row>
    <row r="375" spans="1:1" x14ac:dyDescent="0.25">
      <c r="A375" t="s">
        <v>433</v>
      </c>
    </row>
    <row r="376" spans="1:1" x14ac:dyDescent="0.25">
      <c r="A376" t="s">
        <v>434</v>
      </c>
    </row>
    <row r="377" spans="1:1" x14ac:dyDescent="0.25">
      <c r="A377" t="s">
        <v>435</v>
      </c>
    </row>
    <row r="378" spans="1:1" x14ac:dyDescent="0.25">
      <c r="A378" t="s">
        <v>436</v>
      </c>
    </row>
    <row r="379" spans="1:1" x14ac:dyDescent="0.25">
      <c r="A379" t="s">
        <v>437</v>
      </c>
    </row>
    <row r="380" spans="1:1" x14ac:dyDescent="0.25">
      <c r="A380" t="s">
        <v>438</v>
      </c>
    </row>
    <row r="381" spans="1:1" x14ac:dyDescent="0.25">
      <c r="A381" t="s">
        <v>439</v>
      </c>
    </row>
    <row r="382" spans="1:1" x14ac:dyDescent="0.25">
      <c r="A382" t="s">
        <v>440</v>
      </c>
    </row>
    <row r="383" spans="1:1" x14ac:dyDescent="0.25">
      <c r="A383" t="s">
        <v>441</v>
      </c>
    </row>
    <row r="384" spans="1:1" x14ac:dyDescent="0.25">
      <c r="A384" t="s">
        <v>442</v>
      </c>
    </row>
    <row r="385" spans="1:1" x14ac:dyDescent="0.25">
      <c r="A385" t="s">
        <v>443</v>
      </c>
    </row>
    <row r="386" spans="1:1" x14ac:dyDescent="0.25">
      <c r="A386" t="s">
        <v>444</v>
      </c>
    </row>
    <row r="387" spans="1:1" x14ac:dyDescent="0.25">
      <c r="A387" t="s">
        <v>445</v>
      </c>
    </row>
    <row r="388" spans="1:1" x14ac:dyDescent="0.25">
      <c r="A388" t="s">
        <v>446</v>
      </c>
    </row>
    <row r="389" spans="1:1" x14ac:dyDescent="0.25">
      <c r="A389" t="s">
        <v>447</v>
      </c>
    </row>
    <row r="390" spans="1:1" x14ac:dyDescent="0.25">
      <c r="A390" t="s">
        <v>448</v>
      </c>
    </row>
    <row r="391" spans="1:1" x14ac:dyDescent="0.25">
      <c r="A391" t="s">
        <v>449</v>
      </c>
    </row>
    <row r="392" spans="1:1" x14ac:dyDescent="0.25">
      <c r="A392" t="s">
        <v>450</v>
      </c>
    </row>
    <row r="393" spans="1:1" x14ac:dyDescent="0.25">
      <c r="A393" t="s">
        <v>451</v>
      </c>
    </row>
    <row r="394" spans="1:1" x14ac:dyDescent="0.25">
      <c r="A394" t="s">
        <v>452</v>
      </c>
    </row>
    <row r="395" spans="1:1" x14ac:dyDescent="0.25">
      <c r="A395" t="s">
        <v>453</v>
      </c>
    </row>
    <row r="396" spans="1:1" x14ac:dyDescent="0.25">
      <c r="A396" t="s">
        <v>454</v>
      </c>
    </row>
    <row r="397" spans="1:1" x14ac:dyDescent="0.25">
      <c r="A397" t="s">
        <v>455</v>
      </c>
    </row>
    <row r="398" spans="1:1" x14ac:dyDescent="0.25">
      <c r="A398" t="s">
        <v>456</v>
      </c>
    </row>
    <row r="399" spans="1:1" x14ac:dyDescent="0.25">
      <c r="A399" t="s">
        <v>457</v>
      </c>
    </row>
    <row r="400" spans="1:1" x14ac:dyDescent="0.25">
      <c r="A400" t="s">
        <v>458</v>
      </c>
    </row>
    <row r="401" spans="1:1" x14ac:dyDescent="0.25">
      <c r="A401" t="s">
        <v>459</v>
      </c>
    </row>
    <row r="402" spans="1:1" x14ac:dyDescent="0.25">
      <c r="A402" t="s">
        <v>460</v>
      </c>
    </row>
    <row r="403" spans="1:1" x14ac:dyDescent="0.25">
      <c r="A403" t="s">
        <v>461</v>
      </c>
    </row>
    <row r="404" spans="1:1" x14ac:dyDescent="0.25">
      <c r="A404" t="s">
        <v>462</v>
      </c>
    </row>
    <row r="405" spans="1:1" x14ac:dyDescent="0.25">
      <c r="A405" t="s">
        <v>463</v>
      </c>
    </row>
    <row r="406" spans="1:1" x14ac:dyDescent="0.25">
      <c r="A406" t="s">
        <v>464</v>
      </c>
    </row>
    <row r="407" spans="1:1" x14ac:dyDescent="0.25">
      <c r="A407" t="s">
        <v>465</v>
      </c>
    </row>
    <row r="408" spans="1:1" x14ac:dyDescent="0.25">
      <c r="A408" t="s">
        <v>466</v>
      </c>
    </row>
    <row r="409" spans="1:1" x14ac:dyDescent="0.25">
      <c r="A409" t="s">
        <v>467</v>
      </c>
    </row>
    <row r="410" spans="1:1" x14ac:dyDescent="0.25">
      <c r="A410" t="s">
        <v>468</v>
      </c>
    </row>
    <row r="411" spans="1:1" x14ac:dyDescent="0.25">
      <c r="A411" t="s">
        <v>469</v>
      </c>
    </row>
    <row r="412" spans="1:1" x14ac:dyDescent="0.25">
      <c r="A412" t="s">
        <v>470</v>
      </c>
    </row>
    <row r="413" spans="1:1" x14ac:dyDescent="0.25">
      <c r="A413" t="s">
        <v>471</v>
      </c>
    </row>
    <row r="414" spans="1:1" x14ac:dyDescent="0.25">
      <c r="A414" t="s">
        <v>472</v>
      </c>
    </row>
    <row r="415" spans="1:1" x14ac:dyDescent="0.25">
      <c r="A415" t="s">
        <v>473</v>
      </c>
    </row>
    <row r="416" spans="1:1" x14ac:dyDescent="0.25">
      <c r="A416" t="s">
        <v>474</v>
      </c>
    </row>
    <row r="417" spans="1:1" x14ac:dyDescent="0.25">
      <c r="A417" t="s">
        <v>475</v>
      </c>
    </row>
    <row r="418" spans="1:1" x14ac:dyDescent="0.25">
      <c r="A418" t="s">
        <v>476</v>
      </c>
    </row>
    <row r="419" spans="1:1" x14ac:dyDescent="0.25">
      <c r="A419" t="s">
        <v>477</v>
      </c>
    </row>
    <row r="420" spans="1:1" x14ac:dyDescent="0.25">
      <c r="A420" t="s">
        <v>478</v>
      </c>
    </row>
    <row r="421" spans="1:1" x14ac:dyDescent="0.25">
      <c r="A421" t="s">
        <v>479</v>
      </c>
    </row>
    <row r="422" spans="1:1" x14ac:dyDescent="0.25">
      <c r="A422" t="s">
        <v>480</v>
      </c>
    </row>
    <row r="423" spans="1:1" x14ac:dyDescent="0.25">
      <c r="A423" t="s">
        <v>481</v>
      </c>
    </row>
    <row r="424" spans="1:1" x14ac:dyDescent="0.25">
      <c r="A424" t="s">
        <v>482</v>
      </c>
    </row>
    <row r="425" spans="1:1" x14ac:dyDescent="0.25">
      <c r="A425" t="s">
        <v>483</v>
      </c>
    </row>
    <row r="426" spans="1:1" x14ac:dyDescent="0.25">
      <c r="A426" t="s">
        <v>484</v>
      </c>
    </row>
    <row r="427" spans="1:1" x14ac:dyDescent="0.25">
      <c r="A427" t="s">
        <v>485</v>
      </c>
    </row>
    <row r="428" spans="1:1" x14ac:dyDescent="0.25">
      <c r="A428" t="s">
        <v>486</v>
      </c>
    </row>
    <row r="429" spans="1:1" x14ac:dyDescent="0.25">
      <c r="A429" t="s">
        <v>487</v>
      </c>
    </row>
    <row r="430" spans="1:1" x14ac:dyDescent="0.25">
      <c r="A430" t="s">
        <v>488</v>
      </c>
    </row>
    <row r="431" spans="1:1" x14ac:dyDescent="0.25">
      <c r="A431" t="s">
        <v>489</v>
      </c>
    </row>
    <row r="432" spans="1:1" x14ac:dyDescent="0.25">
      <c r="A432" t="s">
        <v>490</v>
      </c>
    </row>
    <row r="433" spans="1:1" x14ac:dyDescent="0.25">
      <c r="A433" t="s">
        <v>491</v>
      </c>
    </row>
    <row r="434" spans="1:1" x14ac:dyDescent="0.25">
      <c r="A434" t="s">
        <v>492</v>
      </c>
    </row>
    <row r="435" spans="1:1" x14ac:dyDescent="0.25">
      <c r="A435" t="s">
        <v>493</v>
      </c>
    </row>
    <row r="436" spans="1:1" x14ac:dyDescent="0.25">
      <c r="A436" t="s">
        <v>494</v>
      </c>
    </row>
    <row r="437" spans="1:1" x14ac:dyDescent="0.25">
      <c r="A437" t="s">
        <v>495</v>
      </c>
    </row>
    <row r="438" spans="1:1" x14ac:dyDescent="0.25">
      <c r="A438" t="s">
        <v>496</v>
      </c>
    </row>
    <row r="439" spans="1:1" x14ac:dyDescent="0.25">
      <c r="A439" t="s">
        <v>497</v>
      </c>
    </row>
    <row r="440" spans="1:1" x14ac:dyDescent="0.25">
      <c r="A440" t="s">
        <v>498</v>
      </c>
    </row>
    <row r="441" spans="1:1" x14ac:dyDescent="0.25">
      <c r="A441" t="s">
        <v>499</v>
      </c>
    </row>
    <row r="442" spans="1:1" x14ac:dyDescent="0.25">
      <c r="A442" t="s">
        <v>500</v>
      </c>
    </row>
    <row r="443" spans="1:1" x14ac:dyDescent="0.25">
      <c r="A443" t="s">
        <v>501</v>
      </c>
    </row>
    <row r="444" spans="1:1" x14ac:dyDescent="0.25">
      <c r="A444" t="s">
        <v>502</v>
      </c>
    </row>
    <row r="445" spans="1:1" x14ac:dyDescent="0.25">
      <c r="A445" t="s">
        <v>503</v>
      </c>
    </row>
    <row r="446" spans="1:1" x14ac:dyDescent="0.25">
      <c r="A446" s="45" t="s">
        <v>506</v>
      </c>
    </row>
    <row r="447" spans="1:1" x14ac:dyDescent="0.25">
      <c r="A447" t="s">
        <v>504</v>
      </c>
    </row>
    <row r="448" spans="1:1" x14ac:dyDescent="0.25">
      <c r="A448" t="s">
        <v>505</v>
      </c>
    </row>
    <row r="449" spans="1:1" x14ac:dyDescent="0.25">
      <c r="A449" t="s">
        <v>507</v>
      </c>
    </row>
    <row r="450" spans="1:1" x14ac:dyDescent="0.25">
      <c r="A450" t="s">
        <v>508</v>
      </c>
    </row>
    <row r="451" spans="1:1" x14ac:dyDescent="0.25">
      <c r="A451" t="s">
        <v>509</v>
      </c>
    </row>
    <row r="452" spans="1:1" x14ac:dyDescent="0.25">
      <c r="A452" t="s">
        <v>510</v>
      </c>
    </row>
    <row r="453" spans="1:1" x14ac:dyDescent="0.25">
      <c r="A453" t="s">
        <v>511</v>
      </c>
    </row>
    <row r="454" spans="1:1" x14ac:dyDescent="0.25">
      <c r="A454" t="s">
        <v>512</v>
      </c>
    </row>
    <row r="455" spans="1:1" x14ac:dyDescent="0.25">
      <c r="A455" s="45" t="s">
        <v>513</v>
      </c>
    </row>
    <row r="456" spans="1:1" x14ac:dyDescent="0.25">
      <c r="A456" t="s">
        <v>514</v>
      </c>
    </row>
    <row r="457" spans="1:1" x14ac:dyDescent="0.25">
      <c r="A457" t="s">
        <v>515</v>
      </c>
    </row>
    <row r="458" spans="1:1" x14ac:dyDescent="0.25">
      <c r="A458" t="s">
        <v>516</v>
      </c>
    </row>
    <row r="459" spans="1:1" x14ac:dyDescent="0.25">
      <c r="A459" t="s">
        <v>517</v>
      </c>
    </row>
    <row r="460" spans="1:1" x14ac:dyDescent="0.25">
      <c r="A460" t="s">
        <v>518</v>
      </c>
    </row>
    <row r="461" spans="1:1" x14ac:dyDescent="0.25">
      <c r="A461" t="s">
        <v>519</v>
      </c>
    </row>
    <row r="462" spans="1:1" x14ac:dyDescent="0.25">
      <c r="A462" t="s">
        <v>520</v>
      </c>
    </row>
    <row r="463" spans="1:1" x14ac:dyDescent="0.25">
      <c r="A463" t="s">
        <v>521</v>
      </c>
    </row>
    <row r="464" spans="1:1" x14ac:dyDescent="0.25">
      <c r="A464" t="s">
        <v>522</v>
      </c>
    </row>
    <row r="465" spans="1:1" x14ac:dyDescent="0.25">
      <c r="A465" t="s">
        <v>523</v>
      </c>
    </row>
    <row r="466" spans="1:1" x14ac:dyDescent="0.25">
      <c r="A466" t="s">
        <v>524</v>
      </c>
    </row>
    <row r="467" spans="1:1" x14ac:dyDescent="0.25">
      <c r="A467" t="s">
        <v>525</v>
      </c>
    </row>
    <row r="468" spans="1:1" x14ac:dyDescent="0.25">
      <c r="A468" t="s">
        <v>526</v>
      </c>
    </row>
    <row r="469" spans="1:1" x14ac:dyDescent="0.25">
      <c r="A469" t="s">
        <v>527</v>
      </c>
    </row>
    <row r="470" spans="1:1" x14ac:dyDescent="0.25">
      <c r="A470" t="s">
        <v>528</v>
      </c>
    </row>
    <row r="471" spans="1:1" x14ac:dyDescent="0.25">
      <c r="A471" t="s">
        <v>529</v>
      </c>
    </row>
    <row r="472" spans="1:1" x14ac:dyDescent="0.25">
      <c r="A472" t="s">
        <v>530</v>
      </c>
    </row>
    <row r="473" spans="1:1" x14ac:dyDescent="0.25">
      <c r="A473" t="s">
        <v>531</v>
      </c>
    </row>
    <row r="474" spans="1:1" x14ac:dyDescent="0.25">
      <c r="A474" t="s">
        <v>532</v>
      </c>
    </row>
    <row r="475" spans="1:1" x14ac:dyDescent="0.25">
      <c r="A475" t="s">
        <v>533</v>
      </c>
    </row>
    <row r="476" spans="1:1" x14ac:dyDescent="0.25">
      <c r="A476" t="s">
        <v>534</v>
      </c>
    </row>
    <row r="477" spans="1:1" x14ac:dyDescent="0.25">
      <c r="A477" t="s">
        <v>535</v>
      </c>
    </row>
    <row r="478" spans="1:1" x14ac:dyDescent="0.25">
      <c r="A478" t="s">
        <v>536</v>
      </c>
    </row>
    <row r="479" spans="1:1" x14ac:dyDescent="0.25">
      <c r="A479" t="s">
        <v>537</v>
      </c>
    </row>
    <row r="480" spans="1:1" x14ac:dyDescent="0.25">
      <c r="A480" t="s">
        <v>538</v>
      </c>
    </row>
    <row r="481" spans="1:1" x14ac:dyDescent="0.25">
      <c r="A481" t="s">
        <v>539</v>
      </c>
    </row>
    <row r="482" spans="1:1" x14ac:dyDescent="0.25">
      <c r="A482" t="s">
        <v>540</v>
      </c>
    </row>
    <row r="483" spans="1:1" x14ac:dyDescent="0.25">
      <c r="A483" t="s">
        <v>541</v>
      </c>
    </row>
    <row r="484" spans="1:1" x14ac:dyDescent="0.25">
      <c r="A484" t="s">
        <v>542</v>
      </c>
    </row>
    <row r="485" spans="1:1" x14ac:dyDescent="0.25">
      <c r="A485" t="s">
        <v>543</v>
      </c>
    </row>
    <row r="486" spans="1:1" x14ac:dyDescent="0.25">
      <c r="A486" t="s">
        <v>544</v>
      </c>
    </row>
    <row r="487" spans="1:1" x14ac:dyDescent="0.25">
      <c r="A487" t="s">
        <v>545</v>
      </c>
    </row>
    <row r="488" spans="1:1" x14ac:dyDescent="0.25">
      <c r="A488" t="s">
        <v>546</v>
      </c>
    </row>
    <row r="489" spans="1:1" x14ac:dyDescent="0.25">
      <c r="A489" t="s">
        <v>547</v>
      </c>
    </row>
    <row r="490" spans="1:1" x14ac:dyDescent="0.25">
      <c r="A490" t="s">
        <v>548</v>
      </c>
    </row>
    <row r="491" spans="1:1" x14ac:dyDescent="0.25">
      <c r="A491" t="s">
        <v>549</v>
      </c>
    </row>
    <row r="492" spans="1:1" x14ac:dyDescent="0.25">
      <c r="A492" t="s">
        <v>550</v>
      </c>
    </row>
    <row r="493" spans="1:1" x14ac:dyDescent="0.25">
      <c r="A493" t="s">
        <v>551</v>
      </c>
    </row>
    <row r="494" spans="1:1" x14ac:dyDescent="0.25">
      <c r="A494" t="s">
        <v>552</v>
      </c>
    </row>
    <row r="495" spans="1:1" x14ac:dyDescent="0.25">
      <c r="A495" t="s">
        <v>553</v>
      </c>
    </row>
    <row r="496" spans="1:1" x14ac:dyDescent="0.25">
      <c r="A496" t="s">
        <v>554</v>
      </c>
    </row>
    <row r="497" spans="1:1" x14ac:dyDescent="0.25">
      <c r="A497" t="s">
        <v>555</v>
      </c>
    </row>
    <row r="498" spans="1:1" x14ac:dyDescent="0.25">
      <c r="A498" t="s">
        <v>556</v>
      </c>
    </row>
    <row r="499" spans="1:1" x14ac:dyDescent="0.25">
      <c r="A499" t="s">
        <v>557</v>
      </c>
    </row>
    <row r="500" spans="1:1" x14ac:dyDescent="0.25">
      <c r="A500" t="s">
        <v>558</v>
      </c>
    </row>
    <row r="501" spans="1:1" x14ac:dyDescent="0.25">
      <c r="A501" t="s">
        <v>559</v>
      </c>
    </row>
    <row r="502" spans="1:1" x14ac:dyDescent="0.25">
      <c r="A502" t="s">
        <v>560</v>
      </c>
    </row>
    <row r="503" spans="1:1" x14ac:dyDescent="0.25">
      <c r="A503" t="s">
        <v>561</v>
      </c>
    </row>
    <row r="504" spans="1:1" x14ac:dyDescent="0.25">
      <c r="A504" t="s">
        <v>562</v>
      </c>
    </row>
    <row r="505" spans="1:1" x14ac:dyDescent="0.25">
      <c r="A505" t="s">
        <v>563</v>
      </c>
    </row>
    <row r="506" spans="1:1" x14ac:dyDescent="0.25">
      <c r="A506" t="s">
        <v>564</v>
      </c>
    </row>
    <row r="507" spans="1:1" x14ac:dyDescent="0.25">
      <c r="A507" t="s">
        <v>565</v>
      </c>
    </row>
    <row r="508" spans="1:1" x14ac:dyDescent="0.25">
      <c r="A508" t="s">
        <v>566</v>
      </c>
    </row>
    <row r="509" spans="1:1" x14ac:dyDescent="0.25">
      <c r="A509" t="s">
        <v>567</v>
      </c>
    </row>
    <row r="510" spans="1:1" x14ac:dyDescent="0.25">
      <c r="A510" t="s">
        <v>568</v>
      </c>
    </row>
    <row r="511" spans="1:1" x14ac:dyDescent="0.25">
      <c r="A511" t="s">
        <v>569</v>
      </c>
    </row>
    <row r="512" spans="1:1" x14ac:dyDescent="0.25">
      <c r="A512" t="s">
        <v>570</v>
      </c>
    </row>
    <row r="513" spans="1:1" x14ac:dyDescent="0.25">
      <c r="A513" t="s">
        <v>571</v>
      </c>
    </row>
    <row r="514" spans="1:1" x14ac:dyDescent="0.25">
      <c r="A514" t="s">
        <v>572</v>
      </c>
    </row>
    <row r="515" spans="1:1" x14ac:dyDescent="0.25">
      <c r="A515" t="s">
        <v>573</v>
      </c>
    </row>
    <row r="516" spans="1:1" x14ac:dyDescent="0.25">
      <c r="A516" t="s">
        <v>574</v>
      </c>
    </row>
    <row r="517" spans="1:1" x14ac:dyDescent="0.25">
      <c r="A517" t="s">
        <v>575</v>
      </c>
    </row>
    <row r="518" spans="1:1" x14ac:dyDescent="0.25">
      <c r="A518" t="s">
        <v>576</v>
      </c>
    </row>
    <row r="519" spans="1:1" x14ac:dyDescent="0.25">
      <c r="A519" t="s">
        <v>577</v>
      </c>
    </row>
    <row r="520" spans="1:1" x14ac:dyDescent="0.25">
      <c r="A520" t="s">
        <v>578</v>
      </c>
    </row>
    <row r="521" spans="1:1" x14ac:dyDescent="0.25">
      <c r="A521" t="s">
        <v>579</v>
      </c>
    </row>
    <row r="522" spans="1:1" x14ac:dyDescent="0.25">
      <c r="A522" t="s">
        <v>580</v>
      </c>
    </row>
    <row r="523" spans="1:1" x14ac:dyDescent="0.25">
      <c r="A523" t="s">
        <v>581</v>
      </c>
    </row>
    <row r="524" spans="1:1" x14ac:dyDescent="0.25">
      <c r="A524" t="s">
        <v>582</v>
      </c>
    </row>
    <row r="525" spans="1:1" x14ac:dyDescent="0.25">
      <c r="A525" t="s">
        <v>583</v>
      </c>
    </row>
    <row r="526" spans="1:1" x14ac:dyDescent="0.25">
      <c r="A526" t="s">
        <v>584</v>
      </c>
    </row>
    <row r="527" spans="1:1" x14ac:dyDescent="0.25">
      <c r="A527" t="s">
        <v>585</v>
      </c>
    </row>
    <row r="528" spans="1:1" x14ac:dyDescent="0.25">
      <c r="A528" t="s">
        <v>586</v>
      </c>
    </row>
    <row r="529" spans="1:1" x14ac:dyDescent="0.25">
      <c r="A529" t="s">
        <v>587</v>
      </c>
    </row>
    <row r="530" spans="1:1" x14ac:dyDescent="0.25">
      <c r="A530" t="s">
        <v>588</v>
      </c>
    </row>
    <row r="531" spans="1:1" x14ac:dyDescent="0.25">
      <c r="A531" t="s">
        <v>589</v>
      </c>
    </row>
    <row r="532" spans="1:1" x14ac:dyDescent="0.25">
      <c r="A532" t="s">
        <v>590</v>
      </c>
    </row>
    <row r="533" spans="1:1" x14ac:dyDescent="0.25">
      <c r="A533" t="s">
        <v>591</v>
      </c>
    </row>
    <row r="534" spans="1:1" x14ac:dyDescent="0.25">
      <c r="A534" t="s">
        <v>592</v>
      </c>
    </row>
    <row r="535" spans="1:1" x14ac:dyDescent="0.25">
      <c r="A535" t="s">
        <v>593</v>
      </c>
    </row>
    <row r="536" spans="1:1" x14ac:dyDescent="0.25">
      <c r="A536" t="s">
        <v>594</v>
      </c>
    </row>
    <row r="537" spans="1:1" x14ac:dyDescent="0.25">
      <c r="A537" t="s">
        <v>595</v>
      </c>
    </row>
    <row r="538" spans="1:1" x14ac:dyDescent="0.25">
      <c r="A538" t="s">
        <v>596</v>
      </c>
    </row>
    <row r="539" spans="1:1" x14ac:dyDescent="0.25">
      <c r="A539" t="s">
        <v>597</v>
      </c>
    </row>
    <row r="540" spans="1:1" x14ac:dyDescent="0.25">
      <c r="A540" t="s">
        <v>598</v>
      </c>
    </row>
    <row r="541" spans="1:1" x14ac:dyDescent="0.25">
      <c r="A541" t="s">
        <v>599</v>
      </c>
    </row>
    <row r="542" spans="1:1" x14ac:dyDescent="0.25">
      <c r="A542" t="s">
        <v>600</v>
      </c>
    </row>
    <row r="543" spans="1:1" x14ac:dyDescent="0.25">
      <c r="A543" t="s">
        <v>601</v>
      </c>
    </row>
    <row r="544" spans="1:1" x14ac:dyDescent="0.25">
      <c r="A544" t="s">
        <v>602</v>
      </c>
    </row>
    <row r="545" spans="1:1" x14ac:dyDescent="0.25">
      <c r="A545" t="s">
        <v>603</v>
      </c>
    </row>
    <row r="546" spans="1:1" x14ac:dyDescent="0.25">
      <c r="A546" t="s">
        <v>604</v>
      </c>
    </row>
    <row r="547" spans="1:1" x14ac:dyDescent="0.25">
      <c r="A547" t="s">
        <v>605</v>
      </c>
    </row>
    <row r="548" spans="1:1" x14ac:dyDescent="0.25">
      <c r="A548" t="s">
        <v>606</v>
      </c>
    </row>
    <row r="549" spans="1:1" x14ac:dyDescent="0.25">
      <c r="A549" t="s">
        <v>607</v>
      </c>
    </row>
    <row r="550" spans="1:1" x14ac:dyDescent="0.25">
      <c r="A550" t="s">
        <v>608</v>
      </c>
    </row>
    <row r="551" spans="1:1" x14ac:dyDescent="0.25">
      <c r="A551" t="s">
        <v>609</v>
      </c>
    </row>
    <row r="552" spans="1:1" x14ac:dyDescent="0.25">
      <c r="A552" t="s">
        <v>610</v>
      </c>
    </row>
    <row r="553" spans="1:1" x14ac:dyDescent="0.25">
      <c r="A553" t="s">
        <v>611</v>
      </c>
    </row>
    <row r="554" spans="1:1" x14ac:dyDescent="0.25">
      <c r="A554" t="s">
        <v>612</v>
      </c>
    </row>
    <row r="555" spans="1:1" x14ac:dyDescent="0.25">
      <c r="A555" t="s">
        <v>613</v>
      </c>
    </row>
    <row r="556" spans="1:1" x14ac:dyDescent="0.25">
      <c r="A556" t="s">
        <v>614</v>
      </c>
    </row>
    <row r="557" spans="1:1" x14ac:dyDescent="0.25">
      <c r="A557" t="s">
        <v>615</v>
      </c>
    </row>
    <row r="558" spans="1:1" x14ac:dyDescent="0.25">
      <c r="A558" t="s">
        <v>616</v>
      </c>
    </row>
    <row r="559" spans="1:1" x14ac:dyDescent="0.25">
      <c r="A559" t="s">
        <v>617</v>
      </c>
    </row>
    <row r="560" spans="1:1" x14ac:dyDescent="0.25">
      <c r="A560" t="s">
        <v>618</v>
      </c>
    </row>
    <row r="561" spans="1:1" x14ac:dyDescent="0.25">
      <c r="A561" t="s">
        <v>619</v>
      </c>
    </row>
    <row r="562" spans="1:1" x14ac:dyDescent="0.25">
      <c r="A562" t="s">
        <v>620</v>
      </c>
    </row>
    <row r="563" spans="1:1" x14ac:dyDescent="0.25">
      <c r="A563" t="s">
        <v>621</v>
      </c>
    </row>
    <row r="564" spans="1:1" x14ac:dyDescent="0.25">
      <c r="A564" t="s">
        <v>622</v>
      </c>
    </row>
    <row r="565" spans="1:1" x14ac:dyDescent="0.25">
      <c r="A565" t="s">
        <v>623</v>
      </c>
    </row>
    <row r="566" spans="1:1" x14ac:dyDescent="0.25">
      <c r="A566" t="s">
        <v>624</v>
      </c>
    </row>
    <row r="567" spans="1:1" x14ac:dyDescent="0.25">
      <c r="A567" t="s">
        <v>625</v>
      </c>
    </row>
    <row r="568" spans="1:1" x14ac:dyDescent="0.25">
      <c r="A568" t="s">
        <v>626</v>
      </c>
    </row>
    <row r="569" spans="1:1" x14ac:dyDescent="0.25">
      <c r="A569" t="s">
        <v>627</v>
      </c>
    </row>
    <row r="570" spans="1:1" x14ac:dyDescent="0.25">
      <c r="A570" t="s">
        <v>628</v>
      </c>
    </row>
    <row r="571" spans="1:1" x14ac:dyDescent="0.25">
      <c r="A571" t="s">
        <v>629</v>
      </c>
    </row>
    <row r="572" spans="1:1" x14ac:dyDescent="0.25">
      <c r="A572" t="s">
        <v>630</v>
      </c>
    </row>
    <row r="573" spans="1:1" x14ac:dyDescent="0.25">
      <c r="A573" t="s">
        <v>631</v>
      </c>
    </row>
    <row r="574" spans="1:1" x14ac:dyDescent="0.25">
      <c r="A574" t="s">
        <v>632</v>
      </c>
    </row>
    <row r="575" spans="1:1" x14ac:dyDescent="0.25">
      <c r="A575" t="s">
        <v>633</v>
      </c>
    </row>
    <row r="576" spans="1:1" x14ac:dyDescent="0.25">
      <c r="A576" t="s">
        <v>634</v>
      </c>
    </row>
    <row r="577" spans="1:1" x14ac:dyDescent="0.25">
      <c r="A577" t="s">
        <v>635</v>
      </c>
    </row>
    <row r="578" spans="1:1" x14ac:dyDescent="0.25">
      <c r="A578" t="s">
        <v>636</v>
      </c>
    </row>
    <row r="579" spans="1:1" x14ac:dyDescent="0.25">
      <c r="A579" t="s">
        <v>637</v>
      </c>
    </row>
    <row r="580" spans="1:1" x14ac:dyDescent="0.25">
      <c r="A580" t="s">
        <v>638</v>
      </c>
    </row>
    <row r="581" spans="1:1" x14ac:dyDescent="0.25">
      <c r="A581" t="s">
        <v>639</v>
      </c>
    </row>
    <row r="582" spans="1:1" x14ac:dyDescent="0.25">
      <c r="A582" t="s">
        <v>640</v>
      </c>
    </row>
    <row r="583" spans="1:1" x14ac:dyDescent="0.25">
      <c r="A583" t="s">
        <v>641</v>
      </c>
    </row>
    <row r="584" spans="1:1" x14ac:dyDescent="0.25">
      <c r="A584" t="s">
        <v>642</v>
      </c>
    </row>
    <row r="585" spans="1:1" x14ac:dyDescent="0.25">
      <c r="A585" t="s">
        <v>643</v>
      </c>
    </row>
    <row r="586" spans="1:1" x14ac:dyDescent="0.25">
      <c r="A586" t="s">
        <v>644</v>
      </c>
    </row>
    <row r="587" spans="1:1" x14ac:dyDescent="0.25">
      <c r="A587" t="s">
        <v>645</v>
      </c>
    </row>
    <row r="588" spans="1:1" x14ac:dyDescent="0.25">
      <c r="A588" t="s">
        <v>646</v>
      </c>
    </row>
    <row r="589" spans="1:1" x14ac:dyDescent="0.25">
      <c r="A589" t="s">
        <v>647</v>
      </c>
    </row>
    <row r="590" spans="1:1" x14ac:dyDescent="0.25">
      <c r="A590" t="s">
        <v>648</v>
      </c>
    </row>
    <row r="591" spans="1:1" x14ac:dyDescent="0.25">
      <c r="A591" t="s">
        <v>649</v>
      </c>
    </row>
    <row r="592" spans="1:1" x14ac:dyDescent="0.25">
      <c r="A592" t="s">
        <v>650</v>
      </c>
    </row>
    <row r="593" spans="1:1" x14ac:dyDescent="0.25">
      <c r="A593" t="s">
        <v>651</v>
      </c>
    </row>
    <row r="594" spans="1:1" x14ac:dyDescent="0.25">
      <c r="A594" t="s">
        <v>652</v>
      </c>
    </row>
    <row r="595" spans="1:1" x14ac:dyDescent="0.25">
      <c r="A595" t="s">
        <v>653</v>
      </c>
    </row>
    <row r="596" spans="1:1" x14ac:dyDescent="0.25">
      <c r="A596" t="s">
        <v>654</v>
      </c>
    </row>
    <row r="597" spans="1:1" x14ac:dyDescent="0.25">
      <c r="A597" t="s">
        <v>655</v>
      </c>
    </row>
    <row r="598" spans="1:1" x14ac:dyDescent="0.25">
      <c r="A598" t="s">
        <v>656</v>
      </c>
    </row>
    <row r="599" spans="1:1" x14ac:dyDescent="0.25">
      <c r="A599" t="s">
        <v>657</v>
      </c>
    </row>
    <row r="600" spans="1:1" x14ac:dyDescent="0.25">
      <c r="A600" t="s">
        <v>658</v>
      </c>
    </row>
    <row r="601" spans="1:1" x14ac:dyDescent="0.25">
      <c r="A601" t="s">
        <v>659</v>
      </c>
    </row>
    <row r="602" spans="1:1" x14ac:dyDescent="0.25">
      <c r="A602" t="s">
        <v>660</v>
      </c>
    </row>
    <row r="603" spans="1:1" x14ac:dyDescent="0.25">
      <c r="A603" t="s">
        <v>661</v>
      </c>
    </row>
    <row r="604" spans="1:1" x14ac:dyDescent="0.25">
      <c r="A604" t="s">
        <v>662</v>
      </c>
    </row>
    <row r="605" spans="1:1" x14ac:dyDescent="0.25">
      <c r="A605" t="s">
        <v>663</v>
      </c>
    </row>
    <row r="606" spans="1:1" x14ac:dyDescent="0.25">
      <c r="A606" t="s">
        <v>664</v>
      </c>
    </row>
    <row r="607" spans="1:1" x14ac:dyDescent="0.25">
      <c r="A607" t="s">
        <v>665</v>
      </c>
    </row>
    <row r="608" spans="1:1" x14ac:dyDescent="0.25">
      <c r="A608" t="s">
        <v>666</v>
      </c>
    </row>
    <row r="609" spans="1:1" x14ac:dyDescent="0.25">
      <c r="A609" t="s">
        <v>667</v>
      </c>
    </row>
    <row r="610" spans="1:1" x14ac:dyDescent="0.25">
      <c r="A610" t="s">
        <v>668</v>
      </c>
    </row>
    <row r="611" spans="1:1" x14ac:dyDescent="0.25">
      <c r="A611" t="s">
        <v>669</v>
      </c>
    </row>
    <row r="612" spans="1:1" x14ac:dyDescent="0.25">
      <c r="A612" t="s">
        <v>670</v>
      </c>
    </row>
    <row r="613" spans="1:1" x14ac:dyDescent="0.25">
      <c r="A613" t="s">
        <v>671</v>
      </c>
    </row>
    <row r="614" spans="1:1" x14ac:dyDescent="0.25">
      <c r="A614" t="s">
        <v>672</v>
      </c>
    </row>
    <row r="615" spans="1:1" x14ac:dyDescent="0.25">
      <c r="A615" t="s">
        <v>673</v>
      </c>
    </row>
    <row r="616" spans="1:1" x14ac:dyDescent="0.25">
      <c r="A616" t="s">
        <v>674</v>
      </c>
    </row>
    <row r="617" spans="1:1" x14ac:dyDescent="0.25">
      <c r="A617" t="s">
        <v>675</v>
      </c>
    </row>
    <row r="618" spans="1:1" x14ac:dyDescent="0.25">
      <c r="A618" t="s">
        <v>676</v>
      </c>
    </row>
    <row r="619" spans="1:1" x14ac:dyDescent="0.25">
      <c r="A619" t="s">
        <v>677</v>
      </c>
    </row>
    <row r="620" spans="1:1" x14ac:dyDescent="0.25">
      <c r="A620" t="s">
        <v>678</v>
      </c>
    </row>
    <row r="621" spans="1:1" x14ac:dyDescent="0.25">
      <c r="A621" t="s">
        <v>679</v>
      </c>
    </row>
    <row r="622" spans="1:1" x14ac:dyDescent="0.25">
      <c r="A622" t="s">
        <v>680</v>
      </c>
    </row>
    <row r="623" spans="1:1" x14ac:dyDescent="0.25">
      <c r="A623" t="s">
        <v>681</v>
      </c>
    </row>
    <row r="624" spans="1:1" x14ac:dyDescent="0.25">
      <c r="A624" t="s">
        <v>682</v>
      </c>
    </row>
    <row r="625" spans="1:1" x14ac:dyDescent="0.25">
      <c r="A625" t="s">
        <v>683</v>
      </c>
    </row>
    <row r="626" spans="1:1" x14ac:dyDescent="0.25">
      <c r="A626" t="s">
        <v>684</v>
      </c>
    </row>
    <row r="627" spans="1:1" x14ac:dyDescent="0.25">
      <c r="A627" t="s">
        <v>685</v>
      </c>
    </row>
    <row r="628" spans="1:1" x14ac:dyDescent="0.25">
      <c r="A628" t="s">
        <v>686</v>
      </c>
    </row>
    <row r="629" spans="1:1" x14ac:dyDescent="0.25">
      <c r="A629" t="s">
        <v>687</v>
      </c>
    </row>
    <row r="630" spans="1:1" x14ac:dyDescent="0.25">
      <c r="A630" t="s">
        <v>688</v>
      </c>
    </row>
    <row r="631" spans="1:1" x14ac:dyDescent="0.25">
      <c r="A631" t="s">
        <v>689</v>
      </c>
    </row>
    <row r="632" spans="1:1" x14ac:dyDescent="0.25">
      <c r="A632" t="s">
        <v>690</v>
      </c>
    </row>
    <row r="633" spans="1:1" x14ac:dyDescent="0.25">
      <c r="A633" t="s">
        <v>691</v>
      </c>
    </row>
    <row r="634" spans="1:1" x14ac:dyDescent="0.25">
      <c r="A634" t="s">
        <v>692</v>
      </c>
    </row>
    <row r="635" spans="1:1" x14ac:dyDescent="0.25">
      <c r="A635" t="s">
        <v>693</v>
      </c>
    </row>
    <row r="636" spans="1:1" x14ac:dyDescent="0.25">
      <c r="A636" t="s">
        <v>694</v>
      </c>
    </row>
    <row r="637" spans="1:1" x14ac:dyDescent="0.25">
      <c r="A637" t="s">
        <v>695</v>
      </c>
    </row>
    <row r="638" spans="1:1" x14ac:dyDescent="0.25">
      <c r="A638" s="45" t="s">
        <v>696</v>
      </c>
    </row>
    <row r="639" spans="1:1" x14ac:dyDescent="0.25">
      <c r="A639" s="45" t="s">
        <v>697</v>
      </c>
    </row>
    <row r="640" spans="1:1" x14ac:dyDescent="0.25">
      <c r="A640" s="45" t="s">
        <v>698</v>
      </c>
    </row>
    <row r="641" spans="1:1" x14ac:dyDescent="0.25">
      <c r="A641" s="45" t="s">
        <v>699</v>
      </c>
    </row>
    <row r="642" spans="1:1" x14ac:dyDescent="0.25">
      <c r="A642" s="45" t="s">
        <v>700</v>
      </c>
    </row>
    <row r="643" spans="1:1" x14ac:dyDescent="0.25">
      <c r="A643" s="45" t="s">
        <v>701</v>
      </c>
    </row>
    <row r="644" spans="1:1" x14ac:dyDescent="0.25">
      <c r="A644" s="45" t="s">
        <v>702</v>
      </c>
    </row>
    <row r="645" spans="1:1" x14ac:dyDescent="0.25">
      <c r="A645" s="45" t="s">
        <v>703</v>
      </c>
    </row>
    <row r="646" spans="1:1" x14ac:dyDescent="0.25">
      <c r="A646" s="45" t="s">
        <v>704</v>
      </c>
    </row>
    <row r="647" spans="1:1" x14ac:dyDescent="0.25">
      <c r="A647" s="45" t="s">
        <v>705</v>
      </c>
    </row>
    <row r="648" spans="1:1" x14ac:dyDescent="0.25">
      <c r="A648" s="45" t="s">
        <v>706</v>
      </c>
    </row>
    <row r="649" spans="1:1" x14ac:dyDescent="0.25">
      <c r="A649" s="45" t="s">
        <v>707</v>
      </c>
    </row>
    <row r="650" spans="1:1" x14ac:dyDescent="0.25">
      <c r="A650" s="45" t="s">
        <v>708</v>
      </c>
    </row>
    <row r="651" spans="1:1" x14ac:dyDescent="0.25">
      <c r="A651" s="45" t="s">
        <v>709</v>
      </c>
    </row>
    <row r="652" spans="1:1" x14ac:dyDescent="0.25">
      <c r="A652" s="45" t="s">
        <v>710</v>
      </c>
    </row>
    <row r="653" spans="1:1" x14ac:dyDescent="0.25">
      <c r="A653" s="45" t="s">
        <v>711</v>
      </c>
    </row>
    <row r="654" spans="1:1" x14ac:dyDescent="0.25">
      <c r="A654" s="45" t="s">
        <v>712</v>
      </c>
    </row>
    <row r="655" spans="1:1" x14ac:dyDescent="0.25">
      <c r="A655" s="45" t="s">
        <v>713</v>
      </c>
    </row>
    <row r="656" spans="1:1" x14ac:dyDescent="0.25">
      <c r="A656" s="45" t="s">
        <v>714</v>
      </c>
    </row>
    <row r="657" spans="1:1" x14ac:dyDescent="0.25">
      <c r="A657" s="45" t="s">
        <v>715</v>
      </c>
    </row>
    <row r="658" spans="1:1" x14ac:dyDescent="0.25">
      <c r="A658" t="s">
        <v>716</v>
      </c>
    </row>
    <row r="659" spans="1:1" x14ac:dyDescent="0.25">
      <c r="A659" t="s">
        <v>717</v>
      </c>
    </row>
    <row r="660" spans="1:1" x14ac:dyDescent="0.25">
      <c r="A660" t="s">
        <v>718</v>
      </c>
    </row>
    <row r="661" spans="1:1" x14ac:dyDescent="0.25">
      <c r="A661" t="s">
        <v>719</v>
      </c>
    </row>
    <row r="662" spans="1:1" x14ac:dyDescent="0.25">
      <c r="A662" t="s">
        <v>720</v>
      </c>
    </row>
    <row r="663" spans="1:1" x14ac:dyDescent="0.25">
      <c r="A663" t="s">
        <v>721</v>
      </c>
    </row>
    <row r="664" spans="1:1" x14ac:dyDescent="0.25">
      <c r="A664" t="s">
        <v>722</v>
      </c>
    </row>
    <row r="665" spans="1:1" x14ac:dyDescent="0.25">
      <c r="A665" t="s">
        <v>723</v>
      </c>
    </row>
    <row r="666" spans="1:1" x14ac:dyDescent="0.25">
      <c r="A666" t="s">
        <v>724</v>
      </c>
    </row>
    <row r="667" spans="1:1" x14ac:dyDescent="0.25">
      <c r="A667" t="s">
        <v>725</v>
      </c>
    </row>
    <row r="668" spans="1:1" x14ac:dyDescent="0.25">
      <c r="A668" t="s">
        <v>726</v>
      </c>
    </row>
    <row r="669" spans="1:1" x14ac:dyDescent="0.25">
      <c r="A669" t="s">
        <v>727</v>
      </c>
    </row>
    <row r="670" spans="1:1" x14ac:dyDescent="0.25">
      <c r="A670" t="s">
        <v>728</v>
      </c>
    </row>
    <row r="671" spans="1:1" x14ac:dyDescent="0.25">
      <c r="A671" t="s">
        <v>729</v>
      </c>
    </row>
    <row r="672" spans="1:1" x14ac:dyDescent="0.25">
      <c r="A672" t="s">
        <v>730</v>
      </c>
    </row>
    <row r="673" spans="1:1" x14ac:dyDescent="0.25">
      <c r="A673" t="s">
        <v>731</v>
      </c>
    </row>
    <row r="674" spans="1:1" x14ac:dyDescent="0.25">
      <c r="A674" t="s">
        <v>732</v>
      </c>
    </row>
    <row r="675" spans="1:1" x14ac:dyDescent="0.25">
      <c r="A675" t="s">
        <v>733</v>
      </c>
    </row>
    <row r="676" spans="1:1" x14ac:dyDescent="0.25">
      <c r="A676" t="s">
        <v>734</v>
      </c>
    </row>
    <row r="677" spans="1:1" x14ac:dyDescent="0.25">
      <c r="A677" t="s">
        <v>735</v>
      </c>
    </row>
    <row r="678" spans="1:1" x14ac:dyDescent="0.25">
      <c r="A678" t="s">
        <v>736</v>
      </c>
    </row>
    <row r="679" spans="1:1" x14ac:dyDescent="0.25">
      <c r="A679" t="s">
        <v>737</v>
      </c>
    </row>
    <row r="680" spans="1:1" x14ac:dyDescent="0.25">
      <c r="A680" t="s">
        <v>738</v>
      </c>
    </row>
    <row r="681" spans="1:1" x14ac:dyDescent="0.25">
      <c r="A681" t="s">
        <v>739</v>
      </c>
    </row>
    <row r="682" spans="1:1" x14ac:dyDescent="0.25">
      <c r="A682" t="s">
        <v>740</v>
      </c>
    </row>
    <row r="683" spans="1:1" x14ac:dyDescent="0.25">
      <c r="A683" t="s">
        <v>741</v>
      </c>
    </row>
    <row r="684" spans="1:1" x14ac:dyDescent="0.25">
      <c r="A684" t="s">
        <v>742</v>
      </c>
    </row>
    <row r="685" spans="1:1" x14ac:dyDescent="0.25">
      <c r="A685" t="s">
        <v>743</v>
      </c>
    </row>
    <row r="686" spans="1:1" x14ac:dyDescent="0.25">
      <c r="A686" t="s">
        <v>744</v>
      </c>
    </row>
    <row r="687" spans="1:1" x14ac:dyDescent="0.25">
      <c r="A687" t="s">
        <v>745</v>
      </c>
    </row>
    <row r="688" spans="1:1" x14ac:dyDescent="0.25">
      <c r="A688" t="s">
        <v>746</v>
      </c>
    </row>
    <row r="689" spans="1:1" x14ac:dyDescent="0.25">
      <c r="A689" t="s">
        <v>747</v>
      </c>
    </row>
    <row r="690" spans="1:1" x14ac:dyDescent="0.25">
      <c r="A690" t="s">
        <v>748</v>
      </c>
    </row>
    <row r="691" spans="1:1" x14ac:dyDescent="0.25">
      <c r="A691" t="s">
        <v>749</v>
      </c>
    </row>
    <row r="692" spans="1:1" x14ac:dyDescent="0.25">
      <c r="A692" t="s">
        <v>750</v>
      </c>
    </row>
    <row r="693" spans="1:1" x14ac:dyDescent="0.25">
      <c r="A693" t="s">
        <v>751</v>
      </c>
    </row>
    <row r="694" spans="1:1" x14ac:dyDescent="0.25">
      <c r="A694" t="s">
        <v>752</v>
      </c>
    </row>
    <row r="695" spans="1:1" x14ac:dyDescent="0.25">
      <c r="A695" t="s">
        <v>753</v>
      </c>
    </row>
    <row r="696" spans="1:1" x14ac:dyDescent="0.25">
      <c r="A696" t="s">
        <v>754</v>
      </c>
    </row>
    <row r="697" spans="1:1" x14ac:dyDescent="0.25">
      <c r="A697" t="s">
        <v>755</v>
      </c>
    </row>
    <row r="698" spans="1:1" x14ac:dyDescent="0.25">
      <c r="A698" t="s">
        <v>757</v>
      </c>
    </row>
    <row r="699" spans="1:1" x14ac:dyDescent="0.25">
      <c r="A699" t="s">
        <v>756</v>
      </c>
    </row>
    <row r="700" spans="1:1" x14ac:dyDescent="0.25">
      <c r="A700" t="s">
        <v>758</v>
      </c>
    </row>
    <row r="701" spans="1:1" x14ac:dyDescent="0.25">
      <c r="A701" t="s">
        <v>759</v>
      </c>
    </row>
    <row r="702" spans="1:1" x14ac:dyDescent="0.25">
      <c r="A702" t="s">
        <v>760</v>
      </c>
    </row>
    <row r="703" spans="1:1" x14ac:dyDescent="0.25">
      <c r="A703" t="s">
        <v>761</v>
      </c>
    </row>
    <row r="704" spans="1:1" x14ac:dyDescent="0.25">
      <c r="A704" t="s">
        <v>762</v>
      </c>
    </row>
    <row r="705" spans="1:1" x14ac:dyDescent="0.25">
      <c r="A705" t="s">
        <v>763</v>
      </c>
    </row>
    <row r="706" spans="1:1" x14ac:dyDescent="0.25">
      <c r="A706" t="s">
        <v>764</v>
      </c>
    </row>
    <row r="707" spans="1:1" x14ac:dyDescent="0.25">
      <c r="A707" t="s">
        <v>765</v>
      </c>
    </row>
    <row r="708" spans="1:1" x14ac:dyDescent="0.25">
      <c r="A708" t="s">
        <v>766</v>
      </c>
    </row>
    <row r="709" spans="1:1" x14ac:dyDescent="0.25">
      <c r="A709" t="s">
        <v>767</v>
      </c>
    </row>
    <row r="710" spans="1:1" x14ac:dyDescent="0.25">
      <c r="A710" t="s">
        <v>768</v>
      </c>
    </row>
    <row r="711" spans="1:1" x14ac:dyDescent="0.25">
      <c r="A711" t="s">
        <v>769</v>
      </c>
    </row>
    <row r="712" spans="1:1" x14ac:dyDescent="0.25">
      <c r="A712" t="s">
        <v>770</v>
      </c>
    </row>
    <row r="713" spans="1:1" x14ac:dyDescent="0.25">
      <c r="A713" t="s">
        <v>771</v>
      </c>
    </row>
    <row r="714" spans="1:1" x14ac:dyDescent="0.25">
      <c r="A714" t="s">
        <v>772</v>
      </c>
    </row>
    <row r="715" spans="1:1" x14ac:dyDescent="0.25">
      <c r="A715" t="s">
        <v>773</v>
      </c>
    </row>
    <row r="716" spans="1:1" x14ac:dyDescent="0.25">
      <c r="A716" t="s">
        <v>774</v>
      </c>
    </row>
    <row r="717" spans="1:1" x14ac:dyDescent="0.25">
      <c r="A717" t="s">
        <v>775</v>
      </c>
    </row>
    <row r="718" spans="1:1" x14ac:dyDescent="0.25">
      <c r="A718" t="s">
        <v>776</v>
      </c>
    </row>
    <row r="719" spans="1:1" x14ac:dyDescent="0.25">
      <c r="A719" t="s">
        <v>777</v>
      </c>
    </row>
    <row r="720" spans="1:1" x14ac:dyDescent="0.25">
      <c r="A720" t="s">
        <v>778</v>
      </c>
    </row>
    <row r="721" spans="1:1" x14ac:dyDescent="0.25">
      <c r="A721" t="s">
        <v>779</v>
      </c>
    </row>
    <row r="722" spans="1:1" x14ac:dyDescent="0.25">
      <c r="A722" t="s">
        <v>780</v>
      </c>
    </row>
    <row r="723" spans="1:1" x14ac:dyDescent="0.25">
      <c r="A723" t="s">
        <v>781</v>
      </c>
    </row>
    <row r="724" spans="1:1" x14ac:dyDescent="0.25">
      <c r="A724" t="s">
        <v>782</v>
      </c>
    </row>
    <row r="725" spans="1:1" x14ac:dyDescent="0.25">
      <c r="A725" t="s">
        <v>783</v>
      </c>
    </row>
    <row r="726" spans="1:1" x14ac:dyDescent="0.25">
      <c r="A726" t="s">
        <v>784</v>
      </c>
    </row>
    <row r="727" spans="1:1" x14ac:dyDescent="0.25">
      <c r="A727" t="s">
        <v>785</v>
      </c>
    </row>
    <row r="728" spans="1:1" x14ac:dyDescent="0.25">
      <c r="A728" t="s">
        <v>786</v>
      </c>
    </row>
    <row r="729" spans="1:1" x14ac:dyDescent="0.25">
      <c r="A729" t="s">
        <v>787</v>
      </c>
    </row>
    <row r="730" spans="1:1" x14ac:dyDescent="0.25">
      <c r="A730" t="s">
        <v>788</v>
      </c>
    </row>
    <row r="731" spans="1:1" x14ac:dyDescent="0.25">
      <c r="A731" t="s">
        <v>789</v>
      </c>
    </row>
    <row r="732" spans="1:1" x14ac:dyDescent="0.25">
      <c r="A732" t="s">
        <v>790</v>
      </c>
    </row>
    <row r="733" spans="1:1" x14ac:dyDescent="0.25">
      <c r="A733" t="s">
        <v>791</v>
      </c>
    </row>
    <row r="734" spans="1:1" x14ac:dyDescent="0.25">
      <c r="A734" t="s">
        <v>792</v>
      </c>
    </row>
    <row r="735" spans="1:1" x14ac:dyDescent="0.25">
      <c r="A735" t="s">
        <v>793</v>
      </c>
    </row>
    <row r="736" spans="1:1" x14ac:dyDescent="0.25">
      <c r="A736" t="s">
        <v>794</v>
      </c>
    </row>
    <row r="737" spans="1:1" x14ac:dyDescent="0.25">
      <c r="A737" t="s">
        <v>795</v>
      </c>
    </row>
    <row r="738" spans="1:1" x14ac:dyDescent="0.25">
      <c r="A738" t="s">
        <v>796</v>
      </c>
    </row>
    <row r="739" spans="1:1" x14ac:dyDescent="0.25">
      <c r="A739" t="s">
        <v>797</v>
      </c>
    </row>
    <row r="740" spans="1:1" x14ac:dyDescent="0.25">
      <c r="A740" t="s">
        <v>798</v>
      </c>
    </row>
    <row r="741" spans="1:1" x14ac:dyDescent="0.25">
      <c r="A741" t="s">
        <v>799</v>
      </c>
    </row>
    <row r="742" spans="1:1" x14ac:dyDescent="0.25">
      <c r="A742" t="s">
        <v>800</v>
      </c>
    </row>
    <row r="743" spans="1:1" x14ac:dyDescent="0.25">
      <c r="A743" t="s">
        <v>801</v>
      </c>
    </row>
    <row r="744" spans="1:1" x14ac:dyDescent="0.25">
      <c r="A744" t="s">
        <v>802</v>
      </c>
    </row>
    <row r="745" spans="1:1" x14ac:dyDescent="0.25">
      <c r="A745" t="s">
        <v>803</v>
      </c>
    </row>
    <row r="746" spans="1:1" x14ac:dyDescent="0.25">
      <c r="A746" t="s">
        <v>804</v>
      </c>
    </row>
    <row r="747" spans="1:1" x14ac:dyDescent="0.25">
      <c r="A747" t="s">
        <v>805</v>
      </c>
    </row>
    <row r="748" spans="1:1" x14ac:dyDescent="0.25">
      <c r="A748" t="s">
        <v>806</v>
      </c>
    </row>
    <row r="749" spans="1:1" x14ac:dyDescent="0.25">
      <c r="A749" t="s">
        <v>807</v>
      </c>
    </row>
    <row r="750" spans="1:1" x14ac:dyDescent="0.25">
      <c r="A750" t="s">
        <v>808</v>
      </c>
    </row>
    <row r="751" spans="1:1" x14ac:dyDescent="0.25">
      <c r="A751" t="s">
        <v>809</v>
      </c>
    </row>
    <row r="752" spans="1:1" x14ac:dyDescent="0.25">
      <c r="A752" t="s">
        <v>810</v>
      </c>
    </row>
    <row r="753" spans="1:1" x14ac:dyDescent="0.25">
      <c r="A753" t="s">
        <v>811</v>
      </c>
    </row>
    <row r="754" spans="1:1" x14ac:dyDescent="0.25">
      <c r="A754" t="s">
        <v>812</v>
      </c>
    </row>
    <row r="755" spans="1:1" x14ac:dyDescent="0.25">
      <c r="A755" t="s">
        <v>813</v>
      </c>
    </row>
    <row r="756" spans="1:1" x14ac:dyDescent="0.25">
      <c r="A756" t="s">
        <v>814</v>
      </c>
    </row>
    <row r="757" spans="1:1" x14ac:dyDescent="0.25">
      <c r="A757" t="s">
        <v>815</v>
      </c>
    </row>
    <row r="758" spans="1:1" x14ac:dyDescent="0.25">
      <c r="A758" t="s">
        <v>816</v>
      </c>
    </row>
    <row r="759" spans="1:1" x14ac:dyDescent="0.25">
      <c r="A759" t="s">
        <v>817</v>
      </c>
    </row>
    <row r="760" spans="1:1" x14ac:dyDescent="0.25">
      <c r="A760" t="s">
        <v>818</v>
      </c>
    </row>
    <row r="761" spans="1:1" x14ac:dyDescent="0.25">
      <c r="A761" t="s">
        <v>819</v>
      </c>
    </row>
    <row r="762" spans="1:1" x14ac:dyDescent="0.25">
      <c r="A762" t="s">
        <v>820</v>
      </c>
    </row>
    <row r="763" spans="1:1" x14ac:dyDescent="0.25">
      <c r="A763" t="s">
        <v>821</v>
      </c>
    </row>
    <row r="764" spans="1:1" x14ac:dyDescent="0.25">
      <c r="A764" t="s">
        <v>822</v>
      </c>
    </row>
    <row r="765" spans="1:1" x14ac:dyDescent="0.25">
      <c r="A765" t="s">
        <v>823</v>
      </c>
    </row>
    <row r="766" spans="1:1" x14ac:dyDescent="0.25">
      <c r="A766" t="s">
        <v>824</v>
      </c>
    </row>
    <row r="767" spans="1:1" x14ac:dyDescent="0.25">
      <c r="A767" t="s">
        <v>825</v>
      </c>
    </row>
    <row r="768" spans="1:1" x14ac:dyDescent="0.25">
      <c r="A768" t="s">
        <v>826</v>
      </c>
    </row>
    <row r="769" spans="1:1" x14ac:dyDescent="0.25">
      <c r="A769" t="s">
        <v>827</v>
      </c>
    </row>
    <row r="770" spans="1:1" x14ac:dyDescent="0.25">
      <c r="A770" t="s">
        <v>828</v>
      </c>
    </row>
    <row r="771" spans="1:1" x14ac:dyDescent="0.25">
      <c r="A771" t="s">
        <v>829</v>
      </c>
    </row>
    <row r="772" spans="1:1" x14ac:dyDescent="0.25">
      <c r="A772" t="s">
        <v>830</v>
      </c>
    </row>
    <row r="773" spans="1:1" x14ac:dyDescent="0.25">
      <c r="A773" t="s">
        <v>831</v>
      </c>
    </row>
    <row r="774" spans="1:1" x14ac:dyDescent="0.25">
      <c r="A774" t="s">
        <v>832</v>
      </c>
    </row>
    <row r="775" spans="1:1" x14ac:dyDescent="0.25">
      <c r="A775" t="s">
        <v>834</v>
      </c>
    </row>
    <row r="776" spans="1:1" x14ac:dyDescent="0.25">
      <c r="A776" t="s">
        <v>835</v>
      </c>
    </row>
    <row r="777" spans="1:1" x14ac:dyDescent="0.25">
      <c r="A777" t="s">
        <v>836</v>
      </c>
    </row>
    <row r="778" spans="1:1" x14ac:dyDescent="0.25">
      <c r="A778" t="s">
        <v>840</v>
      </c>
    </row>
    <row r="779" spans="1:1" x14ac:dyDescent="0.25">
      <c r="A779" t="s">
        <v>848</v>
      </c>
    </row>
    <row r="780" spans="1:1" x14ac:dyDescent="0.25">
      <c r="A780" t="s">
        <v>855</v>
      </c>
    </row>
    <row r="781" spans="1:1" x14ac:dyDescent="0.25">
      <c r="A781" t="s">
        <v>857</v>
      </c>
    </row>
    <row r="782" spans="1:1" x14ac:dyDescent="0.25">
      <c r="A782" t="s">
        <v>859</v>
      </c>
    </row>
    <row r="783" spans="1:1" x14ac:dyDescent="0.25">
      <c r="A783" t="s">
        <v>861</v>
      </c>
    </row>
    <row r="784" spans="1:1" x14ac:dyDescent="0.25">
      <c r="A784" t="s">
        <v>864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PCI</vt:lpstr>
      <vt:lpstr>Registro</vt:lpstr>
      <vt:lpstr>PCI general</vt:lpstr>
      <vt:lpstr>U's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 oficina</dc:creator>
  <cp:lastModifiedBy>KD oficina</cp:lastModifiedBy>
  <cp:lastPrinted>2018-10-23T02:22:25Z</cp:lastPrinted>
  <dcterms:created xsi:type="dcterms:W3CDTF">2018-05-16T21:11:54Z</dcterms:created>
  <dcterms:modified xsi:type="dcterms:W3CDTF">2018-11-14T13:25:13Z</dcterms:modified>
</cp:coreProperties>
</file>